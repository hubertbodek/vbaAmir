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E:\Amir Excel\"/>
    </mc:Choice>
  </mc:AlternateContent>
  <xr:revisionPtr revIDLastSave="0" documentId="13_ncr:1_{22A0F273-02B8-4FF3-B01E-8899FB2CD2A2}" xr6:coauthVersionLast="36" xr6:coauthVersionMax="36" xr10:uidLastSave="{00000000-0000-0000-0000-000000000000}"/>
  <bookViews>
    <workbookView xWindow="32772" yWindow="32772" windowWidth="23040" windowHeight="9216" tabRatio="477" firstSheet="1" activeTab="1" xr2:uid="{00000000-000D-0000-FFFF-FFFF00000000}"/>
  </bookViews>
  <sheets>
    <sheet name="Koszty do zlecenia" sheetId="10" state="hidden" r:id="rId1"/>
    <sheet name="koszty" sheetId="2" r:id="rId2"/>
    <sheet name="laser" sheetId="1" r:id="rId3"/>
    <sheet name="lakierniaRAL" sheetId="4" r:id="rId4"/>
    <sheet name="klient" sheetId="3" r:id="rId5"/>
    <sheet name="POTWIERDZENIE" sheetId="5" r:id="rId6"/>
    <sheet name="zam. do perf." sheetId="7" r:id="rId7"/>
    <sheet name="wz" sheetId="9" r:id="rId8"/>
  </sheets>
  <functionGroups builtInGroupCount="19"/>
  <definedNames>
    <definedName name="data">koszty!$C$5</definedName>
    <definedName name="dataZamowienia">koszty!$C$5</definedName>
    <definedName name="excelblog_Dziesiatki" localSheetId="5">{"dziesięć";"dwadzieścia";"trzydzieści";"czterdzieści";"pięćdziesiąt";"sześćdziesiąt";"siedemdziesiąt";"osiemdziesiąt";"dziewięćdziesiąt"}</definedName>
    <definedName name="excelblog_Jednosci" localSheetId="5">{"jeden";"dwa";"trzy";"cztery";"pięć";"sześć";"siedem";"osiem";"dziewięć";"dziesięć";"jedenaście";"dwanaście";"trzynaście";"czternaście";"piętnaście";"szesnaście";"siedemnaście";"osiemnaście";"dziewiętnaście";"dwadzieścia"}</definedName>
    <definedName name="excelblog_Komunikat1">"W polu z kwotą nie znajduje się liczba"</definedName>
    <definedName name="excelblog_Komunikat2">"Kwota do zamiany jest nieprawidłowa (zbyt duża lub ujemna)"</definedName>
    <definedName name="excelblog_Setki" localSheetId="5">{"sto";"dwieście";"trzysta";"czterysta";"pięćset";"sześćset";"siedemset";"osiemset";"dziewięćset"}</definedName>
    <definedName name="klient">koszty!$C$3</definedName>
    <definedName name="kom">koszty!$G$18</definedName>
    <definedName name="komorkaPomocnicza">laser!$B$28</definedName>
    <definedName name="komRodzaj">koszty!$G$18</definedName>
    <definedName name="nrFaktury">koszty!$C$6</definedName>
    <definedName name="nrZlecenia">koszty!$C$2</definedName>
    <definedName name="_xlnm.Print_Area" localSheetId="5">POTWIERDZENIE!$A$1:$Q$58</definedName>
    <definedName name="sumaKosztCiecia">koszty!$R$20</definedName>
    <definedName name="sumaKosztMat">koszty!$M$20</definedName>
    <definedName name="zamowienie">koszty!$C$4</definedName>
  </definedNames>
  <calcPr calcId="191029"/>
</workbook>
</file>

<file path=xl/calcChain.xml><?xml version="1.0" encoding="utf-8"?>
<calcChain xmlns="http://schemas.openxmlformats.org/spreadsheetml/2006/main">
  <c r="I8" i="9" l="1"/>
  <c r="G8" i="9"/>
  <c r="F8" i="9"/>
  <c r="E8" i="9"/>
  <c r="B8" i="9"/>
  <c r="C8" i="9"/>
  <c r="H7" i="3"/>
  <c r="G7" i="3"/>
  <c r="F7" i="3"/>
  <c r="E7" i="3"/>
  <c r="D7" i="3"/>
  <c r="C7" i="3"/>
  <c r="B7" i="3"/>
  <c r="A7" i="3"/>
  <c r="J7" i="4"/>
  <c r="J8" i="4" s="1"/>
  <c r="H7" i="4"/>
  <c r="G7" i="4"/>
  <c r="F7" i="4"/>
  <c r="E7" i="4"/>
  <c r="D7" i="4"/>
  <c r="L7" i="4" s="1"/>
  <c r="L8" i="4" s="1"/>
  <c r="C7" i="4"/>
  <c r="B7" i="4"/>
  <c r="A7" i="4"/>
  <c r="G21" i="5"/>
  <c r="F21" i="5"/>
  <c r="D21" i="5"/>
  <c r="C21" i="5"/>
  <c r="B21" i="5"/>
  <c r="M9" i="1"/>
  <c r="L9" i="1"/>
  <c r="H9" i="1"/>
  <c r="G9" i="1"/>
  <c r="F9" i="1"/>
  <c r="E9" i="1"/>
  <c r="D9" i="1"/>
  <c r="C9" i="1"/>
  <c r="B9" i="1"/>
  <c r="A9" i="1"/>
  <c r="K19" i="2"/>
  <c r="M19" i="2"/>
  <c r="T16" i="7"/>
  <c r="R19" i="2"/>
  <c r="K7" i="4" l="1"/>
  <c r="K8" i="4" s="1"/>
  <c r="S19" i="2"/>
  <c r="E7" i="2"/>
  <c r="R20" i="2" l="1"/>
  <c r="K10" i="1" s="1"/>
  <c r="K9" i="1"/>
  <c r="J9" i="1"/>
  <c r="N9" i="1" s="1"/>
  <c r="M20" i="2"/>
  <c r="J10" i="1" s="1"/>
  <c r="B2" i="2"/>
  <c r="N10" i="1" l="1"/>
  <c r="O9" i="1"/>
  <c r="O10" i="1" s="1"/>
  <c r="R16" i="7"/>
  <c r="J7" i="3" l="1"/>
  <c r="H21" i="5"/>
  <c r="K21" i="5" s="1"/>
  <c r="I3" i="7"/>
  <c r="J3" i="7"/>
  <c r="M21" i="5" l="1"/>
  <c r="N23" i="5" s="1"/>
  <c r="K23" i="5"/>
  <c r="L7" i="3"/>
  <c r="J8" i="3"/>
  <c r="I44" i="9"/>
  <c r="L8" i="3" l="1"/>
  <c r="N7" i="3"/>
  <c r="O21" i="5"/>
  <c r="P23" i="5" s="1"/>
  <c r="AA10" i="5" s="1"/>
  <c r="E5" i="5"/>
  <c r="F1" i="4"/>
  <c r="J4" i="1"/>
  <c r="O7" i="3" l="1"/>
  <c r="O8" i="3" s="1"/>
  <c r="N8" i="3"/>
  <c r="H3" i="7"/>
  <c r="R2" i="7"/>
  <c r="P3" i="7"/>
  <c r="I43" i="9"/>
  <c r="B43" i="9"/>
  <c r="F42" i="9"/>
  <c r="I41" i="9"/>
  <c r="B41" i="9"/>
  <c r="F40" i="9"/>
  <c r="F43" i="9"/>
  <c r="G43" i="9"/>
  <c r="I42" i="9"/>
  <c r="G41" i="9"/>
  <c r="G42" i="9"/>
  <c r="F41" i="9"/>
  <c r="I40" i="9"/>
  <c r="G40" i="9"/>
  <c r="H5" i="9"/>
  <c r="H37" i="9" s="1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E37" i="9"/>
  <c r="D37" i="9"/>
  <c r="F37" i="9"/>
  <c r="K34" i="9"/>
  <c r="K36" i="9"/>
  <c r="E59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U31" i="3"/>
  <c r="K2" i="9"/>
  <c r="K4" i="9"/>
  <c r="D5" i="9"/>
  <c r="E5" i="9"/>
  <c r="F5" i="9"/>
  <c r="E40" i="9"/>
  <c r="B40" i="9"/>
  <c r="C40" i="9"/>
  <c r="D40" i="9"/>
  <c r="C41" i="9"/>
  <c r="D41" i="9"/>
  <c r="B42" i="9"/>
  <c r="C42" i="9"/>
  <c r="D42" i="9"/>
  <c r="C43" i="9"/>
  <c r="D43" i="9"/>
  <c r="B44" i="9"/>
  <c r="C44" i="9"/>
  <c r="D44" i="9"/>
  <c r="B45" i="9"/>
  <c r="C45" i="9"/>
  <c r="D45" i="9"/>
  <c r="B46" i="9"/>
  <c r="C46" i="9"/>
  <c r="D46" i="9"/>
  <c r="J46" i="9"/>
  <c r="B47" i="9"/>
  <c r="C47" i="9"/>
  <c r="D47" i="9"/>
  <c r="J47" i="9"/>
  <c r="B48" i="9"/>
  <c r="C48" i="9"/>
  <c r="D48" i="9"/>
  <c r="J48" i="9"/>
  <c r="B49" i="9"/>
  <c r="C49" i="9"/>
  <c r="D49" i="9"/>
  <c r="J49" i="9"/>
  <c r="B50" i="9"/>
  <c r="C50" i="9"/>
  <c r="D50" i="9"/>
  <c r="J50" i="9"/>
  <c r="B51" i="9"/>
  <c r="C51" i="9"/>
  <c r="D51" i="9"/>
  <c r="J51" i="9"/>
  <c r="B52" i="9"/>
  <c r="C52" i="9"/>
  <c r="D52" i="9"/>
  <c r="J52" i="9"/>
  <c r="B53" i="9"/>
  <c r="C53" i="9"/>
  <c r="D53" i="9"/>
  <c r="J53" i="9"/>
  <c r="B54" i="9"/>
  <c r="C54" i="9"/>
  <c r="D54" i="9"/>
  <c r="J54" i="9"/>
  <c r="B55" i="9"/>
  <c r="C55" i="9"/>
  <c r="D55" i="9"/>
  <c r="J55" i="9"/>
  <c r="B56" i="9"/>
  <c r="C56" i="9"/>
  <c r="D56" i="9"/>
  <c r="J56" i="9"/>
  <c r="B57" i="9"/>
  <c r="C57" i="9"/>
  <c r="D57" i="9"/>
  <c r="J57" i="9"/>
  <c r="B58" i="9"/>
  <c r="C58" i="9"/>
  <c r="D58" i="9"/>
  <c r="J58" i="9"/>
  <c r="B59" i="9"/>
  <c r="C59" i="9"/>
  <c r="D59" i="9"/>
  <c r="J59" i="9"/>
  <c r="B60" i="9"/>
  <c r="G5" i="5"/>
  <c r="E6" i="5"/>
  <c r="F6" i="5"/>
  <c r="G6" i="5"/>
  <c r="H6" i="5"/>
  <c r="P6" i="5"/>
  <c r="C18" i="5"/>
  <c r="D5" i="3"/>
  <c r="B6" i="3"/>
  <c r="C6" i="3"/>
  <c r="D6" i="3"/>
  <c r="E6" i="3"/>
  <c r="W36" i="3"/>
  <c r="W37" i="3"/>
  <c r="W38" i="3"/>
  <c r="W39" i="3"/>
  <c r="W40" i="3"/>
  <c r="C1" i="4"/>
  <c r="D1" i="4"/>
  <c r="E1" i="4"/>
  <c r="K1" i="4"/>
  <c r="C6" i="4"/>
  <c r="J6" i="4"/>
  <c r="N11" i="4"/>
  <c r="F4" i="1"/>
  <c r="C3" i="3" s="1"/>
  <c r="G4" i="1"/>
  <c r="D3" i="3" s="1"/>
  <c r="H4" i="1"/>
  <c r="E3" i="3" s="1"/>
  <c r="I4" i="1"/>
  <c r="B8" i="1"/>
  <c r="W45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B35" i="4" l="1"/>
  <c r="J28" i="1"/>
  <c r="F3" i="3"/>
  <c r="AC21" i="2" l="1"/>
  <c r="AE21" i="2" l="1"/>
  <c r="AB13" i="5" l="1"/>
  <c r="AF12" i="5" l="1"/>
  <c r="AF13" i="5" s="1"/>
  <c r="AC12" i="5"/>
  <c r="AC13" i="5" s="1"/>
  <c r="AD12" i="5"/>
  <c r="AD13" i="5" s="1"/>
  <c r="AE12" i="5"/>
  <c r="AE13" i="5" s="1"/>
  <c r="AG12" i="5"/>
  <c r="AG13" i="5" s="1"/>
  <c r="AA15" i="5" l="1"/>
  <c r="AA17" i="5"/>
  <c r="F40" i="5" s="1"/>
  <c r="AA16" i="5"/>
  <c r="W31" i="3"/>
  <c r="W43" i="3" s="1"/>
  <c r="W49" i="3" s="1"/>
  <c r="W47" i="3" l="1"/>
  <c r="W51" i="3"/>
</calcChain>
</file>

<file path=xl/sharedStrings.xml><?xml version="1.0" encoding="utf-8"?>
<sst xmlns="http://schemas.openxmlformats.org/spreadsheetml/2006/main" count="320" uniqueCount="211">
  <si>
    <t>lp.</t>
  </si>
  <si>
    <t>nr rys.</t>
  </si>
  <si>
    <t>materiał</t>
  </si>
  <si>
    <t>gr.</t>
  </si>
  <si>
    <t>1.</t>
  </si>
  <si>
    <t>koszt</t>
  </si>
  <si>
    <t>mat.</t>
  </si>
  <si>
    <t>laser</t>
  </si>
  <si>
    <t>giecie</t>
  </si>
  <si>
    <t>cena/szt.</t>
  </si>
  <si>
    <t>razem</t>
  </si>
  <si>
    <t>il.</t>
  </si>
  <si>
    <t>rodz.</t>
  </si>
  <si>
    <t>dostarcza</t>
  </si>
  <si>
    <t>Zamawiamy wykonanie el. wg zał. rys.</t>
  </si>
  <si>
    <t>inne</t>
  </si>
  <si>
    <t>koszt/szt.</t>
  </si>
  <si>
    <t>marża %</t>
  </si>
  <si>
    <t>szt.</t>
  </si>
  <si>
    <r>
      <t xml:space="preserve">detale </t>
    </r>
    <r>
      <rPr>
        <b/>
        <sz val="10"/>
        <color indexed="8"/>
        <rFont val="Verdana"/>
        <family val="2"/>
      </rPr>
      <t xml:space="preserve">perforowane po wycinaniu </t>
    </r>
    <r>
      <rPr>
        <sz val="10"/>
        <color indexed="8"/>
        <rFont val="Verdana"/>
        <family val="2"/>
      </rPr>
      <t>dostarczymy powtórnie w celu wykonania gięć.</t>
    </r>
  </si>
  <si>
    <t>(PERF. PO WYCINANIU)</t>
  </si>
  <si>
    <t>bez perf.</t>
  </si>
  <si>
    <t>uwagi</t>
  </si>
  <si>
    <t>m2</t>
  </si>
  <si>
    <t>Lp</t>
  </si>
  <si>
    <t>Faktura pro-forma</t>
  </si>
  <si>
    <t>Nabywca:</t>
  </si>
  <si>
    <t>Nazwa towaru</t>
  </si>
  <si>
    <t>j.m.</t>
  </si>
  <si>
    <t>VAT %</t>
  </si>
  <si>
    <t>termin wykonania/sprzedaży:</t>
  </si>
  <si>
    <t>transport:</t>
  </si>
  <si>
    <t>DANE DO FAKTURY:   AMIR-FEDER Piotr Majcher    ul. Radomska 14    31 - 435 Kraków     NIP: 945 - 124 - 80 - 95</t>
  </si>
  <si>
    <t>ilosc</t>
  </si>
  <si>
    <t>wartość netto</t>
  </si>
  <si>
    <t>kwota Vat</t>
  </si>
  <si>
    <t>wart. brutto</t>
  </si>
  <si>
    <t>razem:</t>
  </si>
  <si>
    <t>Sprzedawca:</t>
  </si>
  <si>
    <t>wartość słownie:</t>
  </si>
  <si>
    <t xml:space="preserve">BLACHY PERFOROWANE                    SPRĘŻYNY                    SITAKI                   DENNICE                    SUROWCE WTÓRNE          </t>
  </si>
  <si>
    <t>podpis osoby upoważnionej do podpisywania dokumentu</t>
  </si>
  <si>
    <t>cena jedn. netto</t>
  </si>
  <si>
    <t>2.</t>
  </si>
  <si>
    <t>3.</t>
  </si>
  <si>
    <t>4.</t>
  </si>
  <si>
    <t>5.</t>
  </si>
  <si>
    <t>6.</t>
  </si>
  <si>
    <t>data wystawienia</t>
  </si>
  <si>
    <t>NIP</t>
  </si>
  <si>
    <t>warunki płatnośći:</t>
  </si>
  <si>
    <t>el. nr</t>
  </si>
  <si>
    <t>ilosć</t>
  </si>
  <si>
    <t>kpl.</t>
  </si>
  <si>
    <t>w kpl</t>
  </si>
  <si>
    <r>
      <t>BIURO HANDLOWE</t>
    </r>
    <r>
      <rPr>
        <sz val="7"/>
        <rFont val="Arial CE"/>
        <family val="2"/>
        <charset val="238"/>
      </rPr>
      <t xml:space="preserve">    31-752 Kraków,    ul. Mrozowa 29 p.12-13    tel./fax   +48 12 418 10 29,  +48 12 418 10 05</t>
    </r>
  </si>
  <si>
    <r>
      <t>MAGAZYN</t>
    </r>
    <r>
      <rPr>
        <sz val="7"/>
        <rFont val="Arial CE"/>
        <family val="2"/>
        <charset val="238"/>
      </rPr>
      <t xml:space="preserve">    ul. Łowińskiego 54    31-752 Kraków</t>
    </r>
  </si>
  <si>
    <r>
      <t>Nr konta bankowego</t>
    </r>
    <r>
      <rPr>
        <sz val="7"/>
        <rFont val="Arial CE"/>
        <family val="2"/>
        <charset val="238"/>
      </rPr>
      <t xml:space="preserve">: 73 1160 2202 0000 0000 2789 2616    </t>
    </r>
    <r>
      <rPr>
        <b/>
        <sz val="7"/>
        <rFont val="Arial CE"/>
        <family val="2"/>
        <charset val="238"/>
      </rPr>
      <t>Regon</t>
    </r>
    <r>
      <rPr>
        <sz val="7"/>
        <rFont val="Arial CE"/>
        <family val="2"/>
        <charset val="238"/>
      </rPr>
      <t xml:space="preserve">: 351463691    </t>
    </r>
    <r>
      <rPr>
        <b/>
        <sz val="7"/>
        <rFont val="Arial CE"/>
        <family val="2"/>
        <charset val="238"/>
      </rPr>
      <t>ardes e - mail</t>
    </r>
    <r>
      <rPr>
        <sz val="7"/>
        <rFont val="Arial CE"/>
        <family val="2"/>
        <charset val="238"/>
      </rPr>
      <t>: biuro@amir-feder.com</t>
    </r>
  </si>
  <si>
    <t>Marcin Bodek</t>
  </si>
  <si>
    <t>RAZEM:</t>
  </si>
  <si>
    <t>7.</t>
  </si>
  <si>
    <t>8.</t>
  </si>
  <si>
    <t>9.</t>
  </si>
  <si>
    <t>10.</t>
  </si>
  <si>
    <t>(TŁOCZONE PO WYCINANIU)</t>
  </si>
  <si>
    <t>wyk.</t>
  </si>
  <si>
    <t>ok. 3 tygodnie</t>
  </si>
  <si>
    <t>zam.</t>
  </si>
  <si>
    <t>termin:</t>
  </si>
  <si>
    <t>Proszę o pisemne potwierdzenie w/w cen w ciagu 24h. Brak potwierdzenia oznacza akceptacje cen podanych w zamówieniu.</t>
  </si>
  <si>
    <t>45/</t>
  </si>
  <si>
    <t>NIP:</t>
  </si>
  <si>
    <t>Kraków</t>
  </si>
  <si>
    <t>7 dni</t>
  </si>
  <si>
    <t>11.</t>
  </si>
  <si>
    <t>12.</t>
  </si>
  <si>
    <t>13.</t>
  </si>
  <si>
    <t>14.</t>
  </si>
  <si>
    <t>15.</t>
  </si>
  <si>
    <t>Odbiorca</t>
  </si>
  <si>
    <t>Wz</t>
  </si>
  <si>
    <t>Nr Wz</t>
  </si>
  <si>
    <t>wydanie</t>
  </si>
  <si>
    <t>Data wystawienia</t>
  </si>
  <si>
    <t>na zewn.</t>
  </si>
  <si>
    <t>zlec.nr</t>
  </si>
  <si>
    <t>ilość żądana</t>
  </si>
  <si>
    <t>jedn.</t>
  </si>
  <si>
    <t>ilość wydana</t>
  </si>
  <si>
    <t>Wydał</t>
  </si>
  <si>
    <t>Data odbioru</t>
  </si>
  <si>
    <t>Odebrał</t>
  </si>
  <si>
    <t>16.</t>
  </si>
  <si>
    <t>Zlec.nr</t>
  </si>
  <si>
    <t>ZAMÓWIENIE</t>
  </si>
  <si>
    <t>Nr zamówienia</t>
  </si>
  <si>
    <t>17.</t>
  </si>
  <si>
    <t>18.</t>
  </si>
  <si>
    <t>31-752 Kraków, ul. Łowińskiego 54</t>
  </si>
  <si>
    <t>Bank Millenium 68 1160 2202 0000 0001 2888 7069</t>
  </si>
  <si>
    <t>AMIR - FEDER METAL Marcin Bodek</t>
  </si>
  <si>
    <t>Kwota:</t>
  </si>
  <si>
    <t>Grosze 2</t>
  </si>
  <si>
    <t>Grosze</t>
  </si>
  <si>
    <t>Setki</t>
  </si>
  <si>
    <t>Tysiące</t>
  </si>
  <si>
    <t>Miliony</t>
  </si>
  <si>
    <t>Miliardy</t>
  </si>
  <si>
    <t>Wiersz pomocniczy 1</t>
  </si>
  <si>
    <t>Wiersz pomocniczy 2</t>
  </si>
  <si>
    <t>Słownie v.1</t>
  </si>
  <si>
    <t>Słownie v.2</t>
  </si>
  <si>
    <t>Słownie v.3</t>
  </si>
  <si>
    <t>spaw.</t>
  </si>
  <si>
    <t>RAL</t>
  </si>
  <si>
    <t>kołki</t>
  </si>
  <si>
    <t>zebra</t>
  </si>
  <si>
    <t>19.</t>
  </si>
  <si>
    <t>20.</t>
  </si>
  <si>
    <t>cena/kpl.</t>
  </si>
  <si>
    <t>koszt:</t>
  </si>
  <si>
    <t>Warunkiem przyjęcia faktury jest powołanie się przez Dostawcę na numer naszego zamówienia lub numer zlecenia.</t>
  </si>
  <si>
    <t xml:space="preserve">W przeciwnym wypadku faktury będą odsyłane jako nie spełniające wymogu identyfikacji. </t>
  </si>
  <si>
    <t>wsp.</t>
  </si>
  <si>
    <t>str.</t>
  </si>
  <si>
    <t>ilość</t>
  </si>
  <si>
    <t>Termin realizacji:</t>
  </si>
  <si>
    <t>Na wszystkich dokumentach, bezwzględnie wymagany jest nasz</t>
  </si>
  <si>
    <t>materialów</t>
  </si>
  <si>
    <t>data wyst</t>
  </si>
  <si>
    <t>netto</t>
  </si>
  <si>
    <t>warszrtat</t>
  </si>
  <si>
    <t>20/</t>
  </si>
  <si>
    <t>+ transporty</t>
  </si>
  <si>
    <t>?</t>
  </si>
  <si>
    <t>inne !</t>
  </si>
  <si>
    <t>kg</t>
  </si>
  <si>
    <t>mb</t>
  </si>
  <si>
    <t>szt</t>
  </si>
  <si>
    <t>KLIENT</t>
  </si>
  <si>
    <t>ZAMOWIENIE</t>
  </si>
  <si>
    <t>DATA</t>
  </si>
  <si>
    <t>Rysunek nr</t>
  </si>
  <si>
    <t>Element nr</t>
  </si>
  <si>
    <t>Rodzaj</t>
  </si>
  <si>
    <t>Gr.</t>
  </si>
  <si>
    <t>CENY</t>
  </si>
  <si>
    <t>Dł. Cięcia</t>
  </si>
  <si>
    <t>Ilość przeb.</t>
  </si>
  <si>
    <t>ZAPOTRZEBOWANIE</t>
  </si>
  <si>
    <t>koszt cięcia</t>
  </si>
  <si>
    <t>koszt  mat.</t>
  </si>
  <si>
    <t>RAZEM</t>
  </si>
  <si>
    <t>Grubość</t>
  </si>
  <si>
    <t>Waga</t>
  </si>
  <si>
    <t>Cena</t>
  </si>
  <si>
    <t>Szerokość</t>
  </si>
  <si>
    <t>Długość</t>
  </si>
  <si>
    <t>Dostarcza</t>
  </si>
  <si>
    <t>DC01</t>
  </si>
  <si>
    <t>304 1.4301</t>
  </si>
  <si>
    <t>A1 1050</t>
  </si>
  <si>
    <t>PA11 5754</t>
  </si>
  <si>
    <t>Ocynk</t>
  </si>
  <si>
    <t>Stal nierdz.</t>
  </si>
  <si>
    <t>Laser</t>
  </si>
  <si>
    <t>Laser alu.</t>
  </si>
  <si>
    <t>S235</t>
  </si>
  <si>
    <t>CENY RZADSZYCH</t>
  </si>
  <si>
    <t>H17 1.4016</t>
  </si>
  <si>
    <t>S355</t>
  </si>
  <si>
    <t>Corten</t>
  </si>
  <si>
    <t>316 1.4401</t>
  </si>
  <si>
    <t>316L 1.4404</t>
  </si>
  <si>
    <t>321 1.4541</t>
  </si>
  <si>
    <t>316T 1.4571</t>
  </si>
  <si>
    <t>aaa</t>
  </si>
  <si>
    <t>transport</t>
  </si>
  <si>
    <t>cynkowanie</t>
  </si>
  <si>
    <t>PILNE!!</t>
  </si>
  <si>
    <t>cena razem</t>
  </si>
  <si>
    <t>cena razem(EURO)</t>
  </si>
  <si>
    <t>masno</t>
  </si>
  <si>
    <t>Data obioru</t>
  </si>
  <si>
    <t>materiałów</t>
  </si>
  <si>
    <t>Wystawił</t>
  </si>
  <si>
    <t>Nr rys</t>
  </si>
  <si>
    <t>j.m</t>
  </si>
  <si>
    <t>Średnica</t>
  </si>
  <si>
    <t>Rozstaw</t>
  </si>
  <si>
    <t>Prześwit(?)</t>
  </si>
  <si>
    <t>Wykonawca:</t>
  </si>
  <si>
    <t>Warunki płatności:</t>
  </si>
  <si>
    <t>31 dni</t>
  </si>
  <si>
    <t>Oczko</t>
  </si>
  <si>
    <t>Układ oczek</t>
  </si>
  <si>
    <t>Lv</t>
  </si>
  <si>
    <t>Lg</t>
  </si>
  <si>
    <t>Deco</t>
  </si>
  <si>
    <t>09-</t>
  </si>
  <si>
    <t>Potwierdzenie zamówienia nr</t>
  </si>
  <si>
    <t xml:space="preserve">Zapotrz. </t>
  </si>
  <si>
    <t>a</t>
  </si>
  <si>
    <t>b</t>
  </si>
  <si>
    <t xml:space="preserve">Format </t>
  </si>
  <si>
    <t>yyyy</t>
  </si>
  <si>
    <t>asdasd</t>
  </si>
  <si>
    <t>aaaa</t>
  </si>
  <si>
    <t>Cena/m2</t>
  </si>
  <si>
    <t>pilne!</t>
  </si>
  <si>
    <t>TERMIN WYK.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</si>
</sst>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#,##0.00\ &quot;zł&quot;"/>
    <numFmt numFmtId="166" formatCode="000\-000\-00\-00"/>
    <numFmt numFmtId="167" formatCode="[$-F800]dddd\,\ mmmm\ dd\,\ yyyy"/>
    <numFmt numFmtId="168" formatCode="#,##0.00\ _z_ł"/>
    <numFmt numFmtId="169" formatCode="#&quot; &quot;??/16"/>
    <numFmt numFmtId="170" formatCode="#,##0.00\ [$EUR]"/>
    <numFmt numFmtId="171" formatCode="#,##0.00\ [$EUR];[Red]\-#,##0.00\ [$EUR]"/>
    <numFmt numFmtId="172" formatCode="#,##0.00&quot; kg&quot;"/>
    <numFmt numFmtId="173" formatCode="#,##0&quot;mm&quot;"/>
    <numFmt numFmtId="174" formatCode="#,##0.00&quot; zł&quot;"/>
    <numFmt numFmtId="175" formatCode="0.0#"/>
    <numFmt numFmtId="176" formatCode="0.0#&quot; zł&quot;"/>
    <numFmt numFmtId="177" formatCode="0.0#&quot; €&quot;"/>
    <numFmt numFmtId="178" formatCode="0.00#&quot; zł&quot;"/>
  </numFmts>
  <fonts count="40">
    <font>
      <sz val="10"/>
      <name val="Arial CE"/>
      <charset val="238"/>
    </font>
    <font>
      <sz val="10"/>
      <color indexed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b/>
      <sz val="10"/>
      <name val="Arial"/>
      <family val="2"/>
      <charset val="238"/>
    </font>
    <font>
      <sz val="8"/>
      <name val="Arial CE"/>
      <family val="2"/>
      <charset val="238"/>
    </font>
    <font>
      <sz val="7"/>
      <name val="Arial CE"/>
      <family val="2"/>
      <charset val="238"/>
    </font>
    <font>
      <b/>
      <sz val="9"/>
      <name val="Arial CE"/>
      <family val="2"/>
      <charset val="238"/>
    </font>
    <font>
      <b/>
      <sz val="7"/>
      <name val="Arial CE"/>
      <family val="2"/>
      <charset val="238"/>
    </font>
    <font>
      <b/>
      <sz val="10"/>
      <name val="Arial CE"/>
      <charset val="238"/>
    </font>
    <font>
      <b/>
      <sz val="10"/>
      <color indexed="10"/>
      <name val="Arial CE"/>
      <charset val="238"/>
    </font>
    <font>
      <sz val="8"/>
      <name val="Verdana"/>
      <family val="2"/>
      <charset val="238"/>
    </font>
    <font>
      <b/>
      <sz val="8"/>
      <color indexed="8"/>
      <name val="Verdana"/>
      <family val="2"/>
      <charset val="238"/>
    </font>
    <font>
      <b/>
      <sz val="8"/>
      <name val="Verdana"/>
      <family val="2"/>
      <charset val="238"/>
    </font>
    <font>
      <b/>
      <sz val="11"/>
      <name val="Arial CE"/>
      <charset val="238"/>
    </font>
    <font>
      <sz val="8"/>
      <name val="Arial CE"/>
      <charset val="238"/>
    </font>
    <font>
      <sz val="7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b/>
      <sz val="16"/>
      <name val="Arial CE"/>
      <charset val="238"/>
    </font>
    <font>
      <sz val="9"/>
      <name val="Arial CE"/>
      <charset val="238"/>
    </font>
    <font>
      <b/>
      <sz val="14"/>
      <name val="Arial CE"/>
      <charset val="238"/>
    </font>
    <font>
      <sz val="8"/>
      <name val="Arial"/>
      <family val="2"/>
      <charset val="238"/>
    </font>
    <font>
      <b/>
      <sz val="12"/>
      <name val="Arial CE"/>
      <family val="2"/>
      <charset val="238"/>
    </font>
    <font>
      <sz val="14"/>
      <name val="Arial CE"/>
      <charset val="238"/>
    </font>
    <font>
      <sz val="11"/>
      <color indexed="8"/>
      <name val="Arial"/>
      <family val="2"/>
      <charset val="238"/>
    </font>
    <font>
      <sz val="10"/>
      <color theme="1"/>
      <name val="Czcionka tekstu podstawowego"/>
      <family val="2"/>
      <charset val="238"/>
    </font>
    <font>
      <b/>
      <sz val="10"/>
      <color rgb="FFFF0000"/>
      <name val="Arial CE"/>
      <family val="2"/>
      <charset val="238"/>
    </font>
    <font>
      <sz val="10"/>
      <color theme="0" tint="-0.14999847407452621"/>
      <name val="Arial CE"/>
      <charset val="238"/>
    </font>
    <font>
      <b/>
      <sz val="12"/>
      <color rgb="FFFF0000"/>
      <name val="Arial CE"/>
      <charset val="238"/>
    </font>
    <font>
      <b/>
      <sz val="10"/>
      <color rgb="FFFF0000"/>
      <name val="Arial CE"/>
      <charset val="238"/>
    </font>
    <font>
      <b/>
      <sz val="11"/>
      <color rgb="FFFF0000"/>
      <name val="Arial CE"/>
      <family val="2"/>
      <charset val="238"/>
    </font>
    <font>
      <sz val="14"/>
      <color rgb="FF000000"/>
      <name val="Arial CE"/>
    </font>
    <font>
      <sz val="12"/>
      <color rgb="FF000000"/>
      <name val="Arial CE"/>
    </font>
    <font>
      <sz val="10"/>
      <color rgb="FF000000"/>
      <name val="Arial CE"/>
    </font>
    <font>
      <b/>
      <sz val="9"/>
      <name val="Arial CE"/>
      <charset val="238"/>
    </font>
    <font>
      <b/>
      <sz val="8"/>
      <color rgb="FF333333"/>
      <name val="Verdana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8"/>
      </left>
      <right/>
      <top/>
      <bottom style="thin">
        <color theme="0" tint="-0.14999847407452621"/>
      </bottom>
      <diagonal/>
    </border>
    <border>
      <left style="thin">
        <color indexed="0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43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2" xfId="0" applyBorder="1"/>
    <xf numFmtId="165" fontId="2" fillId="0" borderId="0" xfId="0" applyNumberFormat="1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/>
    <xf numFmtId="0" fontId="9" fillId="2" borderId="0" xfId="0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12" fillId="0" borderId="0" xfId="0" applyFont="1"/>
    <xf numFmtId="165" fontId="12" fillId="0" borderId="0" xfId="0" applyNumberFormat="1" applyFont="1" applyAlignment="1">
      <alignment horizontal="left"/>
    </xf>
    <xf numFmtId="165" fontId="12" fillId="0" borderId="0" xfId="0" applyNumberFormat="1" applyFont="1"/>
    <xf numFmtId="0" fontId="12" fillId="0" borderId="1" xfId="0" applyFont="1" applyBorder="1"/>
    <xf numFmtId="165" fontId="12" fillId="0" borderId="1" xfId="0" applyNumberFormat="1" applyFont="1" applyBorder="1"/>
    <xf numFmtId="0" fontId="12" fillId="0" borderId="1" xfId="0" applyFont="1" applyBorder="1" applyAlignment="1">
      <alignment horizontal="center"/>
    </xf>
    <xf numFmtId="164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left"/>
    </xf>
    <xf numFmtId="0" fontId="15" fillId="5" borderId="2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165" fontId="3" fillId="3" borderId="2" xfId="0" applyNumberFormat="1" applyFont="1" applyFill="1" applyBorder="1"/>
    <xf numFmtId="0" fontId="18" fillId="6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0" xfId="0" applyFont="1" applyFill="1"/>
    <xf numFmtId="0" fontId="10" fillId="3" borderId="0" xfId="0" applyFont="1" applyFill="1" applyAlignment="1">
      <alignment horizontal="left"/>
    </xf>
    <xf numFmtId="0" fontId="12" fillId="6" borderId="0" xfId="0" applyFont="1" applyFill="1" applyAlignment="1">
      <alignment horizontal="right" vertic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right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0" fillId="0" borderId="7" xfId="0" applyBorder="1"/>
    <xf numFmtId="0" fontId="0" fillId="0" borderId="6" xfId="0" applyBorder="1"/>
    <xf numFmtId="0" fontId="23" fillId="8" borderId="8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167" fontId="0" fillId="0" borderId="0" xfId="0" applyNumberFormat="1"/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left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23" fillId="8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center"/>
    </xf>
    <xf numFmtId="0" fontId="0" fillId="4" borderId="0" xfId="0" applyFill="1"/>
    <xf numFmtId="0" fontId="7" fillId="4" borderId="0" xfId="0" applyFont="1" applyFill="1"/>
    <xf numFmtId="4" fontId="0" fillId="2" borderId="4" xfId="0" applyNumberFormat="1" applyFill="1" applyBorder="1" applyProtection="1">
      <protection locked="0"/>
    </xf>
    <xf numFmtId="4" fontId="0" fillId="4" borderId="0" xfId="0" applyNumberFormat="1" applyFill="1"/>
    <xf numFmtId="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5" fillId="4" borderId="0" xfId="0" applyFont="1" applyFill="1"/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5" xfId="0" applyBorder="1"/>
    <xf numFmtId="0" fontId="21" fillId="8" borderId="2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20" xfId="0" applyFont="1" applyFill="1" applyBorder="1" applyAlignment="1">
      <alignment vertical="center"/>
    </xf>
    <xf numFmtId="0" fontId="21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14" xfId="0" applyBorder="1"/>
    <xf numFmtId="170" fontId="0" fillId="0" borderId="0" xfId="0" applyNumberFormat="1"/>
    <xf numFmtId="165" fontId="18" fillId="0" borderId="0" xfId="0" applyNumberFormat="1" applyFont="1"/>
    <xf numFmtId="170" fontId="30" fillId="0" borderId="4" xfId="0" applyNumberFormat="1" applyFont="1" applyBorder="1" applyAlignment="1">
      <alignment horizontal="center"/>
    </xf>
    <xf numFmtId="170" fontId="30" fillId="0" borderId="25" xfId="0" applyNumberFormat="1" applyFont="1" applyBorder="1"/>
    <xf numFmtId="165" fontId="31" fillId="0" borderId="0" xfId="0" applyNumberFormat="1" applyFont="1"/>
    <xf numFmtId="0" fontId="0" fillId="5" borderId="11" xfId="0" applyFill="1" applyBorder="1" applyAlignment="1">
      <alignment horizontal="right" vertical="center"/>
    </xf>
    <xf numFmtId="0" fontId="0" fillId="5" borderId="12" xfId="0" applyFill="1" applyBorder="1" applyAlignment="1">
      <alignment horizontal="right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168" fontId="0" fillId="0" borderId="0" xfId="0" applyNumberFormat="1"/>
    <xf numFmtId="168" fontId="12" fillId="0" borderId="0" xfId="0" applyNumberFormat="1" applyFont="1" applyAlignment="1">
      <alignment horizontal="left"/>
    </xf>
    <xf numFmtId="168" fontId="4" fillId="0" borderId="0" xfId="0" applyNumberFormat="1" applyFont="1"/>
    <xf numFmtId="168" fontId="0" fillId="0" borderId="0" xfId="0" applyNumberFormat="1" applyAlignment="1">
      <alignment horizontal="right"/>
    </xf>
    <xf numFmtId="3" fontId="0" fillId="0" borderId="0" xfId="0" applyNumberFormat="1"/>
    <xf numFmtId="3" fontId="12" fillId="0" borderId="0" xfId="0" applyNumberFormat="1" applyFont="1" applyAlignment="1">
      <alignment horizontal="left"/>
    </xf>
    <xf numFmtId="3" fontId="4" fillId="0" borderId="0" xfId="0" applyNumberFormat="1" applyFont="1"/>
    <xf numFmtId="3" fontId="0" fillId="0" borderId="0" xfId="0" applyNumberFormat="1" applyAlignment="1">
      <alignment horizontal="right"/>
    </xf>
    <xf numFmtId="0" fontId="2" fillId="0" borderId="3" xfId="0" applyFont="1" applyBorder="1"/>
    <xf numFmtId="171" fontId="0" fillId="0" borderId="0" xfId="0" applyNumberFormat="1"/>
    <xf numFmtId="0" fontId="27" fillId="0" borderId="0" xfId="0" applyFont="1" applyAlignment="1">
      <alignment horizontal="left"/>
    </xf>
    <xf numFmtId="0" fontId="0" fillId="0" borderId="28" xfId="0" applyBorder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 wrapText="1"/>
    </xf>
    <xf numFmtId="49" fontId="20" fillId="0" borderId="29" xfId="0" applyNumberFormat="1" applyFont="1" applyBorder="1" applyAlignment="1">
      <alignment horizontal="center" vertical="center"/>
    </xf>
    <xf numFmtId="2" fontId="20" fillId="0" borderId="29" xfId="0" applyNumberFormat="1" applyFont="1" applyBorder="1" applyAlignment="1">
      <alignment horizontal="center" vertical="center"/>
    </xf>
    <xf numFmtId="14" fontId="0" fillId="0" borderId="0" xfId="0" applyNumberFormat="1"/>
    <xf numFmtId="170" fontId="30" fillId="0" borderId="0" xfId="0" applyNumberFormat="1" applyFont="1" applyBorder="1" applyAlignment="1">
      <alignment horizontal="center"/>
    </xf>
    <xf numFmtId="49" fontId="0" fillId="0" borderId="0" xfId="0" applyNumberFormat="1"/>
    <xf numFmtId="170" fontId="32" fillId="0" borderId="3" xfId="0" applyNumberFormat="1" applyFont="1" applyBorder="1"/>
    <xf numFmtId="170" fontId="12" fillId="0" borderId="0" xfId="0" applyNumberFormat="1" applyFont="1"/>
    <xf numFmtId="4" fontId="12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Border="1"/>
    <xf numFmtId="165" fontId="12" fillId="0" borderId="0" xfId="0" applyNumberFormat="1" applyFont="1" applyAlignment="1"/>
    <xf numFmtId="0" fontId="0" fillId="0" borderId="0" xfId="0" applyFill="1"/>
    <xf numFmtId="2" fontId="0" fillId="5" borderId="3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2" fillId="6" borderId="4" xfId="0" applyFont="1" applyFill="1" applyBorder="1" applyProtection="1">
      <protection locked="0"/>
    </xf>
    <xf numFmtId="0" fontId="12" fillId="3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72" fontId="0" fillId="0" borderId="0" xfId="0" applyNumberFormat="1" applyFill="1" applyBorder="1" applyProtection="1">
      <protection locked="0"/>
    </xf>
    <xf numFmtId="0" fontId="12" fillId="0" borderId="0" xfId="0" applyFont="1" applyBorder="1"/>
    <xf numFmtId="0" fontId="0" fillId="0" borderId="0" xfId="0" applyBorder="1"/>
    <xf numFmtId="165" fontId="0" fillId="0" borderId="0" xfId="0" applyNumberFormat="1" applyBorder="1" applyAlignment="1">
      <alignment horizontal="right"/>
    </xf>
    <xf numFmtId="164" fontId="0" fillId="0" borderId="0" xfId="0" applyNumberFormat="1" applyBorder="1"/>
    <xf numFmtId="165" fontId="0" fillId="0" borderId="0" xfId="0" applyNumberFormat="1" applyBorder="1"/>
    <xf numFmtId="165" fontId="4" fillId="0" borderId="0" xfId="0" applyNumberFormat="1" applyFont="1" applyBorder="1"/>
    <xf numFmtId="0" fontId="2" fillId="0" borderId="7" xfId="0" applyFont="1" applyBorder="1" applyAlignment="1">
      <alignment horizontal="right"/>
    </xf>
    <xf numFmtId="0" fontId="12" fillId="8" borderId="1" xfId="0" applyFont="1" applyFill="1" applyBorder="1" applyAlignment="1">
      <alignment horizontal="left"/>
    </xf>
    <xf numFmtId="0" fontId="21" fillId="8" borderId="1" xfId="0" applyFont="1" applyFill="1" applyBorder="1" applyAlignment="1">
      <alignment horizontal="left"/>
    </xf>
    <xf numFmtId="0" fontId="12" fillId="8" borderId="2" xfId="0" applyFont="1" applyFill="1" applyBorder="1" applyAlignment="1">
      <alignment horizontal="left"/>
    </xf>
    <xf numFmtId="165" fontId="12" fillId="8" borderId="2" xfId="0" applyNumberFormat="1" applyFont="1" applyFill="1" applyBorder="1" applyAlignment="1">
      <alignment horizontal="center"/>
    </xf>
    <xf numFmtId="165" fontId="12" fillId="8" borderId="7" xfId="0" applyNumberFormat="1" applyFont="1" applyFill="1" applyBorder="1" applyAlignment="1">
      <alignment horizontal="center"/>
    </xf>
    <xf numFmtId="165" fontId="1" fillId="0" borderId="32" xfId="0" applyNumberFormat="1" applyFont="1" applyBorder="1"/>
    <xf numFmtId="165" fontId="0" fillId="0" borderId="32" xfId="0" applyNumberFormat="1" applyBorder="1"/>
    <xf numFmtId="0" fontId="0" fillId="9" borderId="0" xfId="0" applyFill="1"/>
    <xf numFmtId="173" fontId="0" fillId="0" borderId="0" xfId="0" applyNumberFormat="1"/>
    <xf numFmtId="172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12" fillId="0" borderId="3" xfId="0" applyFont="1" applyBorder="1"/>
    <xf numFmtId="165" fontId="12" fillId="0" borderId="0" xfId="0" applyNumberFormat="1" applyFont="1" applyBorder="1" applyAlignment="1">
      <alignment horizontal="right"/>
    </xf>
    <xf numFmtId="165" fontId="0" fillId="5" borderId="4" xfId="0" applyNumberFormat="1" applyFill="1" applyBorder="1"/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right"/>
    </xf>
    <xf numFmtId="0" fontId="12" fillId="8" borderId="7" xfId="0" applyFont="1" applyFill="1" applyBorder="1" applyAlignment="1">
      <alignment horizontal="left"/>
    </xf>
    <xf numFmtId="164" fontId="12" fillId="8" borderId="6" xfId="0" applyNumberFormat="1" applyFont="1" applyFill="1" applyBorder="1" applyAlignment="1">
      <alignment horizontal="center"/>
    </xf>
    <xf numFmtId="0" fontId="0" fillId="5" borderId="31" xfId="0" applyFill="1" applyBorder="1"/>
    <xf numFmtId="0" fontId="0" fillId="6" borderId="4" xfId="0" applyFont="1" applyFill="1" applyBorder="1"/>
    <xf numFmtId="0" fontId="0" fillId="6" borderId="4" xfId="0" applyFill="1" applyBorder="1" applyProtection="1">
      <protection locked="0"/>
    </xf>
    <xf numFmtId="0" fontId="0" fillId="5" borderId="8" xfId="0" applyFill="1" applyBorder="1"/>
    <xf numFmtId="49" fontId="0" fillId="5" borderId="8" xfId="0" applyNumberFormat="1" applyFill="1" applyBorder="1"/>
    <xf numFmtId="0" fontId="0" fillId="5" borderId="5" xfId="0" applyFill="1" applyBorder="1"/>
    <xf numFmtId="0" fontId="0" fillId="6" borderId="4" xfId="0" applyFill="1" applyBorder="1"/>
    <xf numFmtId="2" fontId="0" fillId="5" borderId="0" xfId="0" applyNumberFormat="1" applyFill="1" applyBorder="1" applyProtection="1">
      <protection locked="0"/>
    </xf>
    <xf numFmtId="0" fontId="0" fillId="5" borderId="0" xfId="0" applyFill="1" applyBorder="1"/>
    <xf numFmtId="0" fontId="0" fillId="6" borderId="0" xfId="0" applyFill="1" applyBorder="1" applyProtection="1">
      <protection locked="0"/>
    </xf>
    <xf numFmtId="0" fontId="0" fillId="6" borderId="0" xfId="0" applyFill="1" applyBorder="1"/>
    <xf numFmtId="165" fontId="12" fillId="8" borderId="0" xfId="0" applyNumberFormat="1" applyFont="1" applyFill="1" applyBorder="1" applyAlignment="1">
      <alignment horizontal="center"/>
    </xf>
    <xf numFmtId="2" fontId="0" fillId="5" borderId="8" xfId="0" applyNumberFormat="1" applyFill="1" applyBorder="1"/>
    <xf numFmtId="2" fontId="0" fillId="5" borderId="5" xfId="0" applyNumberFormat="1" applyFill="1" applyBorder="1"/>
    <xf numFmtId="2" fontId="0" fillId="5" borderId="0" xfId="0" applyNumberFormat="1" applyFill="1" applyBorder="1"/>
    <xf numFmtId="176" fontId="0" fillId="0" borderId="0" xfId="0" applyNumberFormat="1"/>
    <xf numFmtId="0" fontId="0" fillId="11" borderId="33" xfId="0" applyFill="1" applyBorder="1"/>
    <xf numFmtId="175" fontId="0" fillId="0" borderId="0" xfId="0" applyNumberFormat="1" applyAlignment="1">
      <alignment horizontal="right"/>
    </xf>
    <xf numFmtId="0" fontId="0" fillId="5" borderId="35" xfId="0" applyFill="1" applyBorder="1" applyAlignment="1">
      <alignment horizontal="left"/>
    </xf>
    <xf numFmtId="2" fontId="0" fillId="5" borderId="35" xfId="0" applyNumberFormat="1" applyFill="1" applyBorder="1" applyAlignment="1">
      <alignment horizontal="left"/>
    </xf>
    <xf numFmtId="0" fontId="0" fillId="5" borderId="35" xfId="0" applyFill="1" applyBorder="1" applyAlignment="1">
      <alignment horizontal="center" wrapText="1"/>
    </xf>
    <xf numFmtId="165" fontId="0" fillId="5" borderId="35" xfId="0" applyNumberFormat="1" applyFill="1" applyBorder="1" applyAlignment="1">
      <alignment horizontal="left"/>
    </xf>
    <xf numFmtId="165" fontId="0" fillId="5" borderId="35" xfId="0" applyNumberFormat="1" applyFill="1" applyBorder="1"/>
    <xf numFmtId="0" fontId="0" fillId="12" borderId="0" xfId="0" applyFill="1"/>
    <xf numFmtId="176" fontId="0" fillId="12" borderId="0" xfId="0" applyNumberFormat="1" applyFill="1"/>
    <xf numFmtId="0" fontId="0" fillId="2" borderId="0" xfId="0" applyFill="1" applyBorder="1"/>
    <xf numFmtId="0" fontId="0" fillId="0" borderId="3" xfId="0" applyFill="1" applyBorder="1" applyAlignment="1" applyProtection="1">
      <alignment horizontal="left"/>
      <protection locked="0"/>
    </xf>
    <xf numFmtId="0" fontId="0" fillId="13" borderId="0" xfId="0" applyFill="1" applyAlignment="1">
      <alignment horizontal="center"/>
    </xf>
    <xf numFmtId="168" fontId="12" fillId="8" borderId="2" xfId="0" applyNumberFormat="1" applyFont="1" applyFill="1" applyBorder="1" applyAlignment="1">
      <alignment horizontal="center"/>
    </xf>
    <xf numFmtId="3" fontId="12" fillId="8" borderId="2" xfId="0" applyNumberFormat="1" applyFont="1" applyFill="1" applyBorder="1" applyAlignment="1">
      <alignment horizontal="center"/>
    </xf>
    <xf numFmtId="174" fontId="12" fillId="0" borderId="1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7" borderId="0" xfId="0" applyFill="1"/>
    <xf numFmtId="0" fontId="0" fillId="7" borderId="0" xfId="0" applyFill="1"/>
    <xf numFmtId="0" fontId="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20" fillId="0" borderId="0" xfId="0" applyFont="1" applyAlignment="1"/>
    <xf numFmtId="49" fontId="0" fillId="0" borderId="4" xfId="0" applyNumberFormat="1" applyBorder="1"/>
    <xf numFmtId="0" fontId="28" fillId="0" borderId="0" xfId="0" applyFont="1" applyAlignment="1"/>
    <xf numFmtId="0" fontId="2" fillId="0" borderId="0" xfId="0" applyFont="1" applyBorder="1" applyAlignment="1"/>
    <xf numFmtId="0" fontId="0" fillId="7" borderId="0" xfId="0" applyFill="1" applyBorder="1"/>
    <xf numFmtId="49" fontId="12" fillId="0" borderId="11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4" xfId="0" applyNumberFormat="1" applyBorder="1"/>
    <xf numFmtId="0" fontId="0" fillId="0" borderId="0" xfId="0" applyNumberFormat="1"/>
    <xf numFmtId="49" fontId="12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65" fontId="27" fillId="0" borderId="0" xfId="0" applyNumberFormat="1" applyFont="1" applyAlignment="1">
      <alignment horizontal="center"/>
    </xf>
    <xf numFmtId="0" fontId="10" fillId="3" borderId="0" xfId="0" applyFont="1" applyFill="1" applyAlignment="1"/>
    <xf numFmtId="0" fontId="0" fillId="7" borderId="0" xfId="0" applyFill="1" applyAlignment="1">
      <alignment horizontal="right"/>
    </xf>
    <xf numFmtId="0" fontId="0" fillId="7" borderId="0" xfId="0" applyFill="1"/>
    <xf numFmtId="0" fontId="39" fillId="0" borderId="0" xfId="0" applyFont="1"/>
    <xf numFmtId="0" fontId="0" fillId="7" borderId="0" xfId="0" applyFill="1"/>
    <xf numFmtId="2" fontId="0" fillId="0" borderId="4" xfId="0" applyNumberFormat="1" applyBorder="1" applyAlignment="1">
      <alignment horizontal="right"/>
    </xf>
    <xf numFmtId="0" fontId="0" fillId="7" borderId="0" xfId="0" applyFill="1" applyAlignment="1"/>
    <xf numFmtId="0" fontId="12" fillId="6" borderId="0" xfId="0" applyFont="1" applyFill="1" applyAlignment="1">
      <alignment vertical="center"/>
    </xf>
    <xf numFmtId="0" fontId="12" fillId="7" borderId="0" xfId="0" applyFont="1" applyFill="1" applyAlignment="1"/>
    <xf numFmtId="0" fontId="18" fillId="7" borderId="0" xfId="0" applyFont="1" applyFill="1" applyAlignment="1"/>
    <xf numFmtId="0" fontId="18" fillId="7" borderId="0" xfId="0" applyNumberFormat="1" applyFont="1" applyFill="1" applyAlignment="1"/>
    <xf numFmtId="0" fontId="0" fillId="5" borderId="4" xfId="0" applyFill="1" applyBorder="1"/>
    <xf numFmtId="165" fontId="0" fillId="5" borderId="4" xfId="0" applyNumberFormat="1" applyFill="1" applyBorder="1" applyAlignment="1">
      <alignment horizontal="center"/>
    </xf>
    <xf numFmtId="0" fontId="11" fillId="7" borderId="0" xfId="0" applyFont="1" applyFill="1" applyAlignment="1">
      <alignment horizontal="center"/>
    </xf>
    <xf numFmtId="175" fontId="0" fillId="7" borderId="0" xfId="0" applyNumberFormat="1" applyFill="1" applyAlignment="1">
      <alignment horizontal="right"/>
    </xf>
    <xf numFmtId="0" fontId="18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0" fillId="5" borderId="43" xfId="0" applyFill="1" applyBorder="1" applyAlignment="1">
      <alignment horizontal="left"/>
    </xf>
    <xf numFmtId="0" fontId="0" fillId="5" borderId="43" xfId="0" applyFill="1" applyBorder="1" applyAlignment="1">
      <alignment horizontal="center"/>
    </xf>
    <xf numFmtId="0" fontId="14" fillId="5" borderId="43" xfId="0" applyFont="1" applyFill="1" applyBorder="1" applyAlignment="1">
      <alignment horizontal="left" wrapText="1"/>
    </xf>
    <xf numFmtId="165" fontId="2" fillId="5" borderId="43" xfId="0" applyNumberFormat="1" applyFont="1" applyFill="1" applyBorder="1" applyAlignment="1">
      <alignment horizontal="left"/>
    </xf>
    <xf numFmtId="165" fontId="0" fillId="5" borderId="43" xfId="0" applyNumberFormat="1" applyFill="1" applyBorder="1" applyAlignment="1">
      <alignment horizontal="left"/>
    </xf>
    <xf numFmtId="167" fontId="0" fillId="5" borderId="43" xfId="0" applyNumberFormat="1" applyFill="1" applyBorder="1" applyAlignment="1">
      <alignment horizontal="left"/>
    </xf>
    <xf numFmtId="0" fontId="38" fillId="6" borderId="45" xfId="0" applyFont="1" applyFill="1" applyBorder="1" applyAlignment="1">
      <alignment horizontal="center" wrapText="1"/>
    </xf>
    <xf numFmtId="0" fontId="12" fillId="7" borderId="44" xfId="0" applyFont="1" applyFill="1" applyBorder="1" applyAlignment="1">
      <alignment horizontal="right"/>
    </xf>
    <xf numFmtId="0" fontId="0" fillId="7" borderId="44" xfId="0" applyFill="1" applyBorder="1"/>
    <xf numFmtId="49" fontId="0" fillId="7" borderId="44" xfId="0" applyNumberFormat="1" applyFill="1" applyBorder="1"/>
    <xf numFmtId="175" fontId="0" fillId="7" borderId="44" xfId="0" applyNumberFormat="1" applyFill="1" applyBorder="1" applyAlignment="1">
      <alignment horizontal="right"/>
    </xf>
    <xf numFmtId="178" fontId="0" fillId="7" borderId="44" xfId="0" applyNumberFormat="1" applyFill="1" applyBorder="1"/>
    <xf numFmtId="0" fontId="12" fillId="0" borderId="0" xfId="0" applyFont="1" applyAlignment="1">
      <alignment horizontal="center" vertical="center"/>
    </xf>
    <xf numFmtId="0" fontId="0" fillId="0" borderId="46" xfId="0" applyFill="1" applyBorder="1" applyAlignment="1">
      <alignment horizontal="left"/>
    </xf>
    <xf numFmtId="0" fontId="12" fillId="5" borderId="47" xfId="0" applyFont="1" applyFill="1" applyBorder="1" applyAlignment="1">
      <alignment horizontal="left"/>
    </xf>
    <xf numFmtId="0" fontId="12" fillId="5" borderId="47" xfId="0" applyFont="1" applyFill="1" applyBorder="1" applyAlignment="1"/>
    <xf numFmtId="2" fontId="12" fillId="5" borderId="47" xfId="0" applyNumberFormat="1" applyFont="1" applyFill="1" applyBorder="1" applyAlignment="1">
      <alignment horizontal="left"/>
    </xf>
    <xf numFmtId="0" fontId="12" fillId="5" borderId="47" xfId="0" applyFont="1" applyFill="1" applyBorder="1" applyAlignment="1">
      <alignment horizontal="left" wrapText="1"/>
    </xf>
    <xf numFmtId="176" fontId="33" fillId="5" borderId="47" xfId="0" applyNumberFormat="1" applyFont="1" applyFill="1" applyBorder="1" applyAlignment="1">
      <alignment horizontal="left"/>
    </xf>
    <xf numFmtId="176" fontId="12" fillId="5" borderId="47" xfId="0" applyNumberFormat="1" applyFont="1" applyFill="1" applyBorder="1" applyAlignment="1">
      <alignment horizontal="left"/>
    </xf>
    <xf numFmtId="0" fontId="0" fillId="5" borderId="47" xfId="0" applyFill="1" applyBorder="1"/>
    <xf numFmtId="164" fontId="0" fillId="5" borderId="47" xfId="0" applyNumberFormat="1" applyFill="1" applyBorder="1"/>
    <xf numFmtId="165" fontId="0" fillId="5" borderId="47" xfId="0" applyNumberFormat="1" applyFill="1" applyBorder="1"/>
    <xf numFmtId="176" fontId="2" fillId="5" borderId="47" xfId="0" applyNumberFormat="1" applyFont="1" applyFill="1" applyBorder="1"/>
    <xf numFmtId="176" fontId="2" fillId="5" borderId="47" xfId="0" applyNumberFormat="1" applyFont="1" applyFill="1" applyBorder="1" applyAlignment="1">
      <alignment horizontal="center"/>
    </xf>
    <xf numFmtId="176" fontId="0" fillId="5" borderId="47" xfId="0" applyNumberFormat="1" applyFill="1" applyBorder="1"/>
    <xf numFmtId="177" fontId="12" fillId="5" borderId="50" xfId="0" applyNumberFormat="1" applyFont="1" applyFill="1" applyBorder="1"/>
    <xf numFmtId="176" fontId="0" fillId="12" borderId="52" xfId="0" applyNumberFormat="1" applyFill="1" applyBorder="1"/>
    <xf numFmtId="176" fontId="0" fillId="12" borderId="53" xfId="0" applyNumberFormat="1" applyFill="1" applyBorder="1"/>
    <xf numFmtId="176" fontId="0" fillId="12" borderId="54" xfId="0" applyNumberFormat="1" applyFill="1" applyBorder="1"/>
    <xf numFmtId="0" fontId="0" fillId="0" borderId="0" xfId="0" applyAlignment="1">
      <alignment horizontal="left"/>
    </xf>
    <xf numFmtId="165" fontId="0" fillId="5" borderId="51" xfId="0" applyNumberFormat="1" applyFill="1" applyBorder="1" applyProtection="1">
      <protection locked="0"/>
    </xf>
    <xf numFmtId="0" fontId="12" fillId="0" borderId="51" xfId="0" applyFont="1" applyBorder="1"/>
    <xf numFmtId="0" fontId="0" fillId="5" borderId="51" xfId="0" applyFill="1" applyBorder="1" applyAlignment="1" applyProtection="1">
      <alignment horizontal="left"/>
      <protection locked="0"/>
    </xf>
    <xf numFmtId="0" fontId="0" fillId="5" borderId="51" xfId="0" applyFill="1" applyBorder="1" applyProtection="1">
      <protection locked="0"/>
    </xf>
    <xf numFmtId="49" fontId="0" fillId="5" borderId="51" xfId="0" applyNumberFormat="1" applyFill="1" applyBorder="1" applyProtection="1">
      <protection locked="0"/>
    </xf>
    <xf numFmtId="164" fontId="0" fillId="5" borderId="51" xfId="0" applyNumberFormat="1" applyFill="1" applyBorder="1" applyAlignment="1" applyProtection="1">
      <alignment horizontal="right"/>
      <protection locked="0"/>
    </xf>
    <xf numFmtId="164" fontId="0" fillId="5" borderId="51" xfId="0" applyNumberFormat="1" applyFill="1" applyBorder="1" applyProtection="1">
      <protection locked="0"/>
    </xf>
    <xf numFmtId="0" fontId="0" fillId="5" borderId="51" xfId="0" applyNumberFormat="1" applyFill="1" applyBorder="1" applyProtection="1">
      <protection locked="0"/>
    </xf>
    <xf numFmtId="2" fontId="0" fillId="5" borderId="51" xfId="0" applyNumberFormat="1" applyFill="1" applyBorder="1" applyProtection="1">
      <protection locked="0"/>
    </xf>
    <xf numFmtId="4" fontId="0" fillId="5" borderId="51" xfId="0" applyNumberFormat="1" applyFill="1" applyBorder="1" applyProtection="1">
      <protection locked="0"/>
    </xf>
    <xf numFmtId="168" fontId="0" fillId="5" borderId="51" xfId="0" applyNumberFormat="1" applyFill="1" applyBorder="1" applyProtection="1">
      <protection locked="0"/>
    </xf>
    <xf numFmtId="3" fontId="0" fillId="5" borderId="51" xfId="0" applyNumberFormat="1" applyFill="1" applyBorder="1" applyProtection="1">
      <protection locked="0"/>
    </xf>
    <xf numFmtId="165" fontId="13" fillId="0" borderId="51" xfId="0" applyNumberFormat="1" applyFont="1" applyBorder="1" applyProtection="1">
      <protection locked="0"/>
    </xf>
    <xf numFmtId="0" fontId="0" fillId="10" borderId="49" xfId="0" applyFill="1" applyBorder="1"/>
    <xf numFmtId="0" fontId="0" fillId="11" borderId="54" xfId="0" applyFill="1" applyBorder="1"/>
    <xf numFmtId="0" fontId="0" fillId="11" borderId="51" xfId="0" applyFill="1" applyBorder="1"/>
    <xf numFmtId="49" fontId="0" fillId="11" borderId="51" xfId="0" applyNumberFormat="1" applyFill="1" applyBorder="1"/>
    <xf numFmtId="0" fontId="0" fillId="10" borderId="51" xfId="0" applyFill="1" applyBorder="1"/>
    <xf numFmtId="0" fontId="0" fillId="11" borderId="51" xfId="0" applyFill="1" applyBorder="1" applyAlignment="1">
      <alignment horizontal="left"/>
    </xf>
    <xf numFmtId="176" fontId="0" fillId="11" borderId="51" xfId="0" applyNumberFormat="1" applyFill="1" applyBorder="1"/>
    <xf numFmtId="176" fontId="0" fillId="10" borderId="51" xfId="0" applyNumberFormat="1" applyFill="1" applyBorder="1"/>
    <xf numFmtId="176" fontId="0" fillId="10" borderId="49" xfId="0" applyNumberFormat="1" applyFill="1" applyBorder="1"/>
    <xf numFmtId="175" fontId="0" fillId="11" borderId="51" xfId="0" applyNumberFormat="1" applyFill="1" applyBorder="1" applyAlignment="1">
      <alignment horizontal="right"/>
    </xf>
    <xf numFmtId="0" fontId="0" fillId="12" borderId="51" xfId="0" applyFill="1" applyBorder="1"/>
    <xf numFmtId="176" fontId="0" fillId="12" borderId="51" xfId="0" applyNumberFormat="1" applyFill="1" applyBorder="1"/>
    <xf numFmtId="0" fontId="0" fillId="0" borderId="51" xfId="0" applyBorder="1"/>
    <xf numFmtId="49" fontId="0" fillId="0" borderId="51" xfId="0" applyNumberFormat="1" applyBorder="1"/>
    <xf numFmtId="176" fontId="0" fillId="0" borderId="51" xfId="0" applyNumberFormat="1" applyBorder="1" applyAlignment="1">
      <alignment horizontal="right"/>
    </xf>
    <xf numFmtId="176" fontId="0" fillId="0" borderId="51" xfId="0" applyNumberFormat="1" applyBorder="1"/>
    <xf numFmtId="0" fontId="0" fillId="10" borderId="51" xfId="0" applyFill="1" applyBorder="1" applyAlignment="1">
      <alignment horizontal="right"/>
    </xf>
    <xf numFmtId="177" fontId="0" fillId="10" borderId="49" xfId="0" applyNumberFormat="1" applyFill="1" applyBorder="1"/>
    <xf numFmtId="177" fontId="0" fillId="0" borderId="51" xfId="0" applyNumberFormat="1" applyBorder="1"/>
    <xf numFmtId="0" fontId="17" fillId="6" borderId="4" xfId="0" applyFont="1" applyFill="1" applyBorder="1" applyAlignment="1">
      <alignment horizontal="center"/>
    </xf>
    <xf numFmtId="165" fontId="13" fillId="0" borderId="7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0" borderId="6" xfId="0" applyNumberFormat="1" applyFont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165" fontId="12" fillId="8" borderId="31" xfId="0" applyNumberFormat="1" applyFont="1" applyFill="1" applyBorder="1" applyAlignment="1">
      <alignment horizontal="center" vertical="center" wrapText="1"/>
    </xf>
    <xf numFmtId="165" fontId="12" fillId="8" borderId="20" xfId="0" applyNumberFormat="1" applyFont="1" applyFill="1" applyBorder="1" applyAlignment="1">
      <alignment horizontal="center" vertical="center" wrapText="1"/>
    </xf>
    <xf numFmtId="165" fontId="12" fillId="8" borderId="8" xfId="0" applyNumberFormat="1" applyFont="1" applyFill="1" applyBorder="1" applyAlignment="1">
      <alignment horizontal="center" wrapText="1"/>
    </xf>
    <xf numFmtId="165" fontId="12" fillId="8" borderId="33" xfId="0" applyNumberFormat="1" applyFont="1" applyFill="1" applyBorder="1" applyAlignment="1">
      <alignment horizontal="center" wrapText="1"/>
    </xf>
    <xf numFmtId="0" fontId="12" fillId="6" borderId="0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5" borderId="36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34" xfId="0" applyFill="1" applyBorder="1" applyAlignment="1">
      <alignment horizontal="left"/>
    </xf>
    <xf numFmtId="167" fontId="6" fillId="0" borderId="0" xfId="0" applyNumberFormat="1" applyFont="1" applyAlignment="1">
      <alignment horizontal="center"/>
    </xf>
    <xf numFmtId="0" fontId="2" fillId="0" borderId="0" xfId="0" applyFont="1" applyAlignment="1"/>
    <xf numFmtId="0" fontId="6" fillId="0" borderId="0" xfId="0" applyFont="1" applyAlignment="1">
      <alignment horizontal="right"/>
    </xf>
    <xf numFmtId="165" fontId="0" fillId="5" borderId="31" xfId="0" applyNumberFormat="1" applyFill="1" applyBorder="1" applyAlignment="1">
      <alignment horizontal="center"/>
    </xf>
    <xf numFmtId="0" fontId="2" fillId="0" borderId="0" xfId="0" applyFont="1" applyAlignment="1">
      <alignment wrapText="1"/>
    </xf>
    <xf numFmtId="0" fontId="24" fillId="0" borderId="0" xfId="0" applyFont="1" applyAlignment="1">
      <alignment horizontal="left"/>
    </xf>
    <xf numFmtId="0" fontId="34" fillId="0" borderId="7" xfId="0" applyFont="1" applyBorder="1" applyAlignment="1">
      <alignment horizontal="left"/>
    </xf>
    <xf numFmtId="0" fontId="34" fillId="0" borderId="2" xfId="0" applyFont="1" applyBorder="1" applyAlignment="1">
      <alignment horizontal="left"/>
    </xf>
    <xf numFmtId="0" fontId="34" fillId="0" borderId="6" xfId="0" applyFont="1" applyBorder="1" applyAlignment="1">
      <alignment horizontal="left"/>
    </xf>
    <xf numFmtId="0" fontId="26" fillId="0" borderId="3" xfId="0" applyFont="1" applyBorder="1" applyAlignment="1">
      <alignment horizontal="right"/>
    </xf>
    <xf numFmtId="0" fontId="26" fillId="0" borderId="34" xfId="0" applyFont="1" applyBorder="1" applyAlignment="1">
      <alignment horizontal="right"/>
    </xf>
    <xf numFmtId="0" fontId="0" fillId="0" borderId="0" xfId="0" applyAlignment="1">
      <alignment horizontal="center"/>
    </xf>
    <xf numFmtId="0" fontId="12" fillId="5" borderId="4" xfId="0" applyFont="1" applyFill="1" applyBorder="1" applyAlignment="1">
      <alignment horizontal="center"/>
    </xf>
    <xf numFmtId="176" fontId="0" fillId="5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14" fontId="8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7" borderId="0" xfId="0" applyFill="1" applyAlignment="1">
      <alignment horizontal="right"/>
    </xf>
    <xf numFmtId="166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11" fillId="2" borderId="0" xfId="0" applyFont="1" applyFill="1" applyAlignment="1">
      <alignment horizontal="left"/>
    </xf>
    <xf numFmtId="0" fontId="9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13" borderId="4" xfId="0" applyFill="1" applyBorder="1" applyAlignment="1">
      <alignment horizontal="center" vertical="center" wrapText="1"/>
    </xf>
    <xf numFmtId="0" fontId="0" fillId="13" borderId="48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168" fontId="8" fillId="0" borderId="41" xfId="0" applyNumberFormat="1" applyFont="1" applyBorder="1" applyAlignment="1">
      <alignment horizontal="center"/>
    </xf>
    <xf numFmtId="176" fontId="8" fillId="0" borderId="42" xfId="0" applyNumberFormat="1" applyFont="1" applyBorder="1" applyAlignment="1">
      <alignment horizontal="center"/>
    </xf>
    <xf numFmtId="176" fontId="8" fillId="0" borderId="41" xfId="0" applyNumberFormat="1" applyFont="1" applyBorder="1" applyAlignment="1">
      <alignment horizontal="center"/>
    </xf>
    <xf numFmtId="0" fontId="0" fillId="13" borderId="36" xfId="0" applyFill="1" applyBorder="1" applyAlignment="1">
      <alignment horizontal="center" vertical="center" wrapText="1"/>
    </xf>
    <xf numFmtId="0" fontId="0" fillId="13" borderId="34" xfId="0" applyFill="1" applyBorder="1" applyAlignment="1">
      <alignment horizontal="center" vertical="center" wrapText="1"/>
    </xf>
    <xf numFmtId="0" fontId="0" fillId="13" borderId="49" xfId="0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/>
    </xf>
    <xf numFmtId="0" fontId="0" fillId="13" borderId="6" xfId="0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3" borderId="48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2" borderId="51" xfId="0" applyFill="1" applyBorder="1"/>
    <xf numFmtId="176" fontId="0" fillId="12" borderId="51" xfId="0" applyNumberFormat="1" applyFill="1" applyBorder="1"/>
    <xf numFmtId="176" fontId="0" fillId="12" borderId="52" xfId="0" applyNumberFormat="1" applyFill="1" applyBorder="1" applyAlignment="1">
      <alignment horizontal="center"/>
    </xf>
    <xf numFmtId="176" fontId="0" fillId="12" borderId="53" xfId="0" applyNumberFormat="1" applyFill="1" applyBorder="1" applyAlignment="1">
      <alignment horizontal="center"/>
    </xf>
    <xf numFmtId="176" fontId="0" fillId="12" borderId="54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38" fillId="6" borderId="45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  <xf numFmtId="0" fontId="0" fillId="7" borderId="0" xfId="0" applyFill="1" applyBorder="1" applyAlignment="1">
      <alignment horizontal="right"/>
    </xf>
    <xf numFmtId="0" fontId="0" fillId="7" borderId="52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12" fillId="6" borderId="36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34" xfId="0" applyFont="1" applyFill="1" applyBorder="1" applyAlignment="1">
      <alignment horizontal="center"/>
    </xf>
    <xf numFmtId="0" fontId="38" fillId="6" borderId="7" xfId="0" applyFont="1" applyFill="1" applyBorder="1" applyAlignment="1">
      <alignment horizontal="center" wrapText="1"/>
    </xf>
    <xf numFmtId="0" fontId="38" fillId="6" borderId="6" xfId="0" applyFont="1" applyFill="1" applyBorder="1" applyAlignment="1">
      <alignment horizontal="center" wrapText="1"/>
    </xf>
    <xf numFmtId="0" fontId="38" fillId="6" borderId="4" xfId="0" applyFont="1" applyFill="1" applyBorder="1" applyAlignment="1">
      <alignment horizontal="center" vertical="center" wrapText="1"/>
    </xf>
    <xf numFmtId="0" fontId="38" fillId="6" borderId="45" xfId="0" applyFont="1" applyFill="1" applyBorder="1" applyAlignment="1">
      <alignment horizontal="center" vertical="center" wrapText="1"/>
    </xf>
    <xf numFmtId="0" fontId="38" fillId="6" borderId="3" xfId="0" applyFont="1" applyFill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/>
    </xf>
    <xf numFmtId="0" fontId="18" fillId="5" borderId="7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21" fillId="8" borderId="37" xfId="0" applyFont="1" applyFill="1" applyBorder="1" applyAlignment="1">
      <alignment horizontal="center" vertical="center"/>
    </xf>
    <xf numFmtId="0" fontId="21" fillId="8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0" xfId="0" applyFill="1" applyBorder="1" applyAlignment="1">
      <alignment horizontal="right" vertical="center"/>
    </xf>
    <xf numFmtId="0" fontId="0" fillId="5" borderId="9" xfId="0" applyFill="1" applyBorder="1" applyAlignment="1">
      <alignment horizontal="right" vertical="center"/>
    </xf>
    <xf numFmtId="0" fontId="0" fillId="5" borderId="11" xfId="0" applyFill="1" applyBorder="1" applyAlignment="1">
      <alignment horizontal="right" vertic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/>
    </xf>
    <xf numFmtId="0" fontId="21" fillId="8" borderId="37" xfId="0" applyFont="1" applyFill="1" applyBorder="1" applyAlignment="1">
      <alignment horizontal="center" vertical="center" wrapText="1"/>
    </xf>
    <xf numFmtId="0" fontId="21" fillId="8" borderId="33" xfId="0" applyFont="1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22" fillId="8" borderId="31" xfId="0" applyFont="1" applyFill="1" applyBorder="1" applyAlignment="1">
      <alignment horizontal="center" vertical="center" wrapText="1"/>
    </xf>
    <xf numFmtId="0" fontId="22" fillId="8" borderId="8" xfId="0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/>
    </xf>
  </cellXfs>
  <cellStyles count="2">
    <cellStyle name="Normalny" xfId="0" builtinId="0"/>
    <cellStyle name="Normalny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13</xdr:row>
          <xdr:rowOff>45720</xdr:rowOff>
        </xdr:from>
        <xdr:to>
          <xdr:col>2</xdr:col>
          <xdr:colOff>708660</xdr:colOff>
          <xdr:row>15</xdr:row>
          <xdr:rowOff>152400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 (ctrl+shift+p)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0</xdr:row>
          <xdr:rowOff>182880</xdr:rowOff>
        </xdr:from>
        <xdr:to>
          <xdr:col>7</xdr:col>
          <xdr:colOff>182880</xdr:colOff>
          <xdr:row>3</xdr:row>
          <xdr:rowOff>30480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Oblicz zapotrzebowanie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137160</xdr:rowOff>
        </xdr:from>
        <xdr:to>
          <xdr:col>2</xdr:col>
          <xdr:colOff>609600</xdr:colOff>
          <xdr:row>10</xdr:row>
          <xdr:rowOff>38100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1150620</xdr:colOff>
      <xdr:row>1</xdr:row>
      <xdr:rowOff>15240</xdr:rowOff>
    </xdr:from>
    <xdr:to>
      <xdr:col>4</xdr:col>
      <xdr:colOff>299085</xdr:colOff>
      <xdr:row>6</xdr:row>
      <xdr:rowOff>38100</xdr:rowOff>
    </xdr:to>
    <xdr:pic>
      <xdr:nvPicPr>
        <xdr:cNvPr id="17935" name="Obraz 2">
          <a:extLst>
            <a:ext uri="{FF2B5EF4-FFF2-40B4-BE49-F238E27FC236}">
              <a16:creationId xmlns:a16="http://schemas.microsoft.com/office/drawing/2014/main" id="{00000000-0008-0000-0200-00000F4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" y="182880"/>
          <a:ext cx="1905000" cy="967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0</xdr:row>
          <xdr:rowOff>137160</xdr:rowOff>
        </xdr:from>
        <xdr:to>
          <xdr:col>14</xdr:col>
          <xdr:colOff>563880</xdr:colOff>
          <xdr:row>3</xdr:row>
          <xdr:rowOff>106680</xdr:rowOff>
        </xdr:to>
        <xdr:sp macro="" textlink="">
          <xdr:nvSpPr>
            <xdr:cNvPr id="17779" name="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2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22860</xdr:colOff>
          <xdr:row>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1089660</xdr:colOff>
          <xdr:row>1</xdr:row>
          <xdr:rowOff>0</xdr:rowOff>
        </xdr:from>
        <xdr:to>
          <xdr:col>15</xdr:col>
          <xdr:colOff>594360</xdr:colOff>
          <xdr:row>3</xdr:row>
          <xdr:rowOff>7620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Odswież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17</xdr:col>
      <xdr:colOff>0</xdr:colOff>
      <xdr:row>4</xdr:row>
      <xdr:rowOff>0</xdr:rowOff>
    </xdr:to>
    <xdr:pic>
      <xdr:nvPicPr>
        <xdr:cNvPr id="21573" name="Picture 1" descr="pieczątka2">
          <a:extLst>
            <a:ext uri="{FF2B5EF4-FFF2-40B4-BE49-F238E27FC236}">
              <a16:creationId xmlns:a16="http://schemas.microsoft.com/office/drawing/2014/main" id="{00000000-0008-0000-0500-000045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0"/>
          <a:ext cx="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259080</xdr:colOff>
      <xdr:row>0</xdr:row>
      <xdr:rowOff>99060</xdr:rowOff>
    </xdr:from>
    <xdr:to>
      <xdr:col>15</xdr:col>
      <xdr:colOff>72278</xdr:colOff>
      <xdr:row>3</xdr:row>
      <xdr:rowOff>262890</xdr:rowOff>
    </xdr:to>
    <xdr:pic>
      <xdr:nvPicPr>
        <xdr:cNvPr id="21574" name="Obraz 1">
          <a:extLst>
            <a:ext uri="{FF2B5EF4-FFF2-40B4-BE49-F238E27FC236}">
              <a16:creationId xmlns:a16="http://schemas.microsoft.com/office/drawing/2014/main" id="{00000000-0008-0000-0500-0000465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8660" y="99060"/>
          <a:ext cx="192024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617220</xdr:colOff>
          <xdr:row>6</xdr:row>
          <xdr:rowOff>160020</xdr:rowOff>
        </xdr:from>
        <xdr:to>
          <xdr:col>20</xdr:col>
          <xdr:colOff>617220</xdr:colOff>
          <xdr:row>9</xdr:row>
          <xdr:rowOff>22860</xdr:rowOff>
        </xdr:to>
        <xdr:sp macro="" textlink="">
          <xdr:nvSpPr>
            <xdr:cNvPr id="19314" name="Button 1906" hidden="1">
              <a:extLst>
                <a:ext uri="{63B3BB69-23CF-44E3-9099-C40C66FF867C}">
                  <a14:compatExt spid="_x0000_s19314"/>
                </a:ext>
                <a:ext uri="{FF2B5EF4-FFF2-40B4-BE49-F238E27FC236}">
                  <a16:creationId xmlns:a16="http://schemas.microsoft.com/office/drawing/2014/main" id="{00000000-0008-0000-0500-00007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0</xdr:rowOff>
    </xdr:from>
    <xdr:to>
      <xdr:col>5</xdr:col>
      <xdr:colOff>121920</xdr:colOff>
      <xdr:row>6</xdr:row>
      <xdr:rowOff>114300</xdr:rowOff>
    </xdr:to>
    <xdr:pic>
      <xdr:nvPicPr>
        <xdr:cNvPr id="20691" name="Obraz 4">
          <a:extLst>
            <a:ext uri="{FF2B5EF4-FFF2-40B4-BE49-F238E27FC236}">
              <a16:creationId xmlns:a16="http://schemas.microsoft.com/office/drawing/2014/main" id="{00000000-0008-0000-0600-0000D3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1498580"/>
          <a:ext cx="18440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480060</xdr:colOff>
          <xdr:row>10</xdr:row>
          <xdr:rowOff>83820</xdr:rowOff>
        </xdr:from>
        <xdr:to>
          <xdr:col>11</xdr:col>
          <xdr:colOff>327660</xdr:colOff>
          <xdr:row>12</xdr:row>
          <xdr:rowOff>83820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38100</xdr:rowOff>
        </xdr:from>
        <xdr:to>
          <xdr:col>15</xdr:col>
          <xdr:colOff>7620</xdr:colOff>
          <xdr:row>6</xdr:row>
          <xdr:rowOff>30480</xdr:rowOff>
        </xdr:to>
        <xdr:sp macro="" textlink="">
          <xdr:nvSpPr>
            <xdr:cNvPr id="22528" name="Button 1024" hidden="1">
              <a:extLst>
                <a:ext uri="{63B3BB69-23CF-44E3-9099-C40C66FF867C}">
                  <a14:compatExt spid="_x0000_s22528"/>
                </a:ext>
                <a:ext uri="{FF2B5EF4-FFF2-40B4-BE49-F238E27FC236}">
                  <a16:creationId xmlns:a16="http://schemas.microsoft.com/office/drawing/2014/main" id="{00000000-0008-0000-07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2:D2"/>
  <sheetViews>
    <sheetView workbookViewId="0">
      <selection activeCell="E2" sqref="E2"/>
    </sheetView>
  </sheetViews>
  <sheetFormatPr defaultRowHeight="13.2"/>
  <cols>
    <col min="1" max="1" width="10.109375" style="118" bestFit="1" customWidth="1"/>
    <col min="2" max="2" width="12" bestFit="1" customWidth="1"/>
    <col min="3" max="3" width="15.109375" bestFit="1" customWidth="1"/>
    <col min="4" max="4" width="9.109375" style="2" customWidth="1"/>
    <col min="5" max="5" width="17.88671875" bestFit="1" customWidth="1"/>
  </cols>
  <sheetData>
    <row r="2" spans="1:4">
      <c r="A2" s="118" t="s">
        <v>129</v>
      </c>
      <c r="D2" s="2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FF0000"/>
  </sheetPr>
  <dimension ref="A1:AM89"/>
  <sheetViews>
    <sheetView showZeros="0" tabSelected="1" zoomScale="85" zoomScaleNormal="85" workbookViewId="0">
      <selection activeCell="I11" sqref="I11"/>
    </sheetView>
  </sheetViews>
  <sheetFormatPr defaultRowHeight="13.2"/>
  <cols>
    <col min="1" max="1" width="3.88671875" bestFit="1" customWidth="1"/>
    <col min="2" max="2" width="16.6640625" customWidth="1"/>
    <col min="3" max="3" width="12.33203125" customWidth="1"/>
    <col min="4" max="4" width="5" bestFit="1" customWidth="1"/>
    <col min="5" max="5" width="6.5546875" bestFit="1" customWidth="1"/>
    <col min="6" max="6" width="7.109375" bestFit="1" customWidth="1"/>
    <col min="7" max="7" width="15.5546875" bestFit="1" customWidth="1"/>
    <col min="8" max="8" width="5" bestFit="1" customWidth="1"/>
    <col min="9" max="9" width="12.88671875" bestFit="1" customWidth="1"/>
    <col min="10" max="10" width="12.88671875" customWidth="1"/>
    <col min="11" max="11" width="9.109375" customWidth="1"/>
    <col min="12" max="12" width="10.33203125" bestFit="1" customWidth="1"/>
    <col min="13" max="13" width="11.6640625" bestFit="1" customWidth="1"/>
    <col min="14" max="14" width="10.6640625" customWidth="1"/>
    <col min="15" max="15" width="12.44140625" customWidth="1"/>
    <col min="16" max="16" width="9.33203125" hidden="1" customWidth="1"/>
    <col min="17" max="17" width="7.33203125" hidden="1" customWidth="1"/>
    <col min="18" max="18" width="12" bestFit="1" customWidth="1"/>
    <col min="19" max="19" width="0.5546875" hidden="1" customWidth="1"/>
    <col min="20" max="20" width="8.33203125" customWidth="1"/>
    <col min="21" max="21" width="9.44140625" hidden="1" customWidth="1"/>
    <col min="22" max="22" width="9.33203125" customWidth="1"/>
    <col min="23" max="23" width="11.6640625" hidden="1" customWidth="1"/>
    <col min="24" max="24" width="6.6640625" hidden="1" customWidth="1"/>
    <col min="25" max="25" width="6.5546875" hidden="1" customWidth="1"/>
    <col min="26" max="26" width="11.5546875" customWidth="1"/>
    <col min="27" max="27" width="2.33203125" style="100" hidden="1" customWidth="1"/>
    <col min="28" max="28" width="5.5546875" style="104" customWidth="1"/>
    <col min="29" max="29" width="9.6640625" bestFit="1" customWidth="1"/>
    <col min="30" max="30" width="4.33203125" hidden="1" customWidth="1"/>
    <col min="31" max="31" width="9.33203125" bestFit="1" customWidth="1"/>
    <col min="32" max="32" width="5.88671875" hidden="1" customWidth="1"/>
    <col min="33" max="33" width="11.109375" style="2" bestFit="1" customWidth="1"/>
    <col min="34" max="34" width="10.33203125" bestFit="1" customWidth="1"/>
    <col min="36" max="36" width="11.44140625" bestFit="1" customWidth="1"/>
    <col min="39" max="39" width="10.6640625" bestFit="1" customWidth="1"/>
    <col min="43" max="43" width="10.6640625" bestFit="1" customWidth="1"/>
  </cols>
  <sheetData>
    <row r="1" spans="1:35" ht="18.600000000000001" customHeight="1">
      <c r="B1" s="247"/>
      <c r="H1" s="130"/>
      <c r="I1" s="298" t="s">
        <v>149</v>
      </c>
      <c r="J1" s="298"/>
      <c r="K1" s="298"/>
      <c r="L1" s="298"/>
      <c r="N1" s="302" t="s">
        <v>146</v>
      </c>
      <c r="O1" s="302"/>
      <c r="P1" s="310" t="s">
        <v>168</v>
      </c>
      <c r="Q1" s="310"/>
    </row>
    <row r="2" spans="1:35">
      <c r="B2" t="str">
        <f>IF(B1="Oferta","NR-OFERTY",IF(B1="Zamówienie","NR-ZAMÓWIENIA","NR"))</f>
        <v>NR</v>
      </c>
      <c r="H2" s="130"/>
      <c r="I2" s="153" t="s">
        <v>144</v>
      </c>
      <c r="J2" s="152" t="s">
        <v>153</v>
      </c>
      <c r="K2" s="152" t="s">
        <v>154</v>
      </c>
      <c r="L2" s="152" t="s">
        <v>155</v>
      </c>
      <c r="N2" s="161" t="s">
        <v>167</v>
      </c>
      <c r="O2" s="129">
        <v>2.5</v>
      </c>
      <c r="P2" s="168" t="s">
        <v>169</v>
      </c>
      <c r="Q2" s="168">
        <v>7</v>
      </c>
    </row>
    <row r="3" spans="1:35">
      <c r="B3" t="s">
        <v>139</v>
      </c>
      <c r="C3" s="214"/>
      <c r="H3" s="130"/>
      <c r="N3" s="164" t="s">
        <v>159</v>
      </c>
      <c r="O3" s="173">
        <v>2.7</v>
      </c>
      <c r="P3" s="169" t="s">
        <v>172</v>
      </c>
      <c r="Q3" s="175">
        <v>13</v>
      </c>
    </row>
    <row r="4" spans="1:35">
      <c r="B4" t="s">
        <v>140</v>
      </c>
      <c r="C4" s="214"/>
      <c r="H4" s="130"/>
      <c r="N4" s="164" t="s">
        <v>163</v>
      </c>
      <c r="O4" s="173">
        <v>3.4</v>
      </c>
      <c r="P4" s="169" t="s">
        <v>173</v>
      </c>
      <c r="Q4" s="175">
        <v>13</v>
      </c>
      <c r="AG4"/>
    </row>
    <row r="5" spans="1:35">
      <c r="B5" s="125" t="s">
        <v>141</v>
      </c>
      <c r="C5" s="215"/>
      <c r="H5" s="130"/>
      <c r="N5" s="164" t="s">
        <v>164</v>
      </c>
      <c r="O5" s="173">
        <v>11</v>
      </c>
      <c r="P5" s="169" t="s">
        <v>174</v>
      </c>
      <c r="Q5" s="175">
        <v>16</v>
      </c>
    </row>
    <row r="6" spans="1:35">
      <c r="B6" s="125" t="s">
        <v>210</v>
      </c>
      <c r="C6" s="213"/>
      <c r="N6" s="165" t="s">
        <v>160</v>
      </c>
      <c r="O6" s="173">
        <v>10.5</v>
      </c>
      <c r="P6" s="169" t="s">
        <v>175</v>
      </c>
      <c r="Q6" s="175">
        <v>14</v>
      </c>
    </row>
    <row r="7" spans="1:35" ht="12.75" customHeight="1">
      <c r="B7" s="210" t="s">
        <v>93</v>
      </c>
      <c r="C7" s="211" t="s">
        <v>132</v>
      </c>
      <c r="D7" s="212" t="s">
        <v>199</v>
      </c>
      <c r="E7" s="209">
        <f>NumerZlecenia(B1,C2)</f>
        <v>0</v>
      </c>
      <c r="N7" s="164" t="s">
        <v>161</v>
      </c>
      <c r="O7" s="173">
        <v>10.8</v>
      </c>
      <c r="P7" s="169" t="s">
        <v>171</v>
      </c>
      <c r="Q7" s="175">
        <v>5.5</v>
      </c>
      <c r="AG7" s="94"/>
    </row>
    <row r="8" spans="1:35">
      <c r="N8" s="166" t="s">
        <v>162</v>
      </c>
      <c r="O8" s="174">
        <v>12</v>
      </c>
      <c r="P8" s="169" t="s">
        <v>170</v>
      </c>
      <c r="Q8" s="175">
        <v>2.8</v>
      </c>
    </row>
    <row r="9" spans="1:35">
      <c r="N9" s="162" t="s">
        <v>165</v>
      </c>
      <c r="O9" s="163">
        <v>6.5000000000000002E-2</v>
      </c>
      <c r="P9" s="170"/>
      <c r="Q9" s="170"/>
      <c r="AG9" s="8"/>
      <c r="AH9" s="8"/>
      <c r="AI9" s="8"/>
    </row>
    <row r="10" spans="1:35">
      <c r="N10" s="167" t="s">
        <v>166</v>
      </c>
      <c r="O10" s="167">
        <v>0.09</v>
      </c>
      <c r="P10" s="171"/>
      <c r="Q10" s="171"/>
      <c r="AG10" s="8"/>
      <c r="AH10" s="8"/>
      <c r="AI10" s="8"/>
    </row>
    <row r="11" spans="1:35">
      <c r="AG11" s="8"/>
      <c r="AH11" s="8"/>
      <c r="AI11" s="8"/>
    </row>
    <row r="12" spans="1:35">
      <c r="AH12" s="8"/>
    </row>
    <row r="13" spans="1:35">
      <c r="Z13" t="s">
        <v>123</v>
      </c>
      <c r="AH13" s="8"/>
    </row>
    <row r="14" spans="1:35">
      <c r="Z14" s="130">
        <v>1.1000000000000001</v>
      </c>
    </row>
    <row r="15" spans="1:35">
      <c r="Z15" t="s">
        <v>120</v>
      </c>
    </row>
    <row r="16" spans="1:35">
      <c r="A16" s="23"/>
      <c r="C16" s="23"/>
      <c r="D16" s="23"/>
      <c r="E16" s="23"/>
      <c r="F16" s="23"/>
      <c r="H16" s="23"/>
      <c r="Z16" s="131">
        <v>35</v>
      </c>
      <c r="AD16" s="23"/>
      <c r="AE16" s="24" t="s">
        <v>17</v>
      </c>
    </row>
    <row r="17" spans="1:39">
      <c r="A17" s="23"/>
      <c r="C17" s="23"/>
      <c r="D17" s="303" t="s">
        <v>52</v>
      </c>
      <c r="E17" s="304"/>
      <c r="F17" s="305"/>
      <c r="M17" s="306" t="s">
        <v>151</v>
      </c>
      <c r="N17" s="127"/>
      <c r="O17" s="127"/>
      <c r="P17" s="127"/>
      <c r="Q17" s="127"/>
      <c r="R17" s="308" t="s">
        <v>150</v>
      </c>
      <c r="S17" s="127"/>
      <c r="T17" s="127"/>
      <c r="U17" s="127"/>
      <c r="V17" s="127"/>
      <c r="W17" s="127"/>
      <c r="X17" s="127"/>
      <c r="Y17" s="127"/>
      <c r="Z17" s="127"/>
      <c r="AA17" s="101"/>
      <c r="AB17" s="105"/>
      <c r="AC17" s="25"/>
      <c r="AD17" s="25"/>
      <c r="AE17" s="132">
        <v>40</v>
      </c>
    </row>
    <row r="18" spans="1:39">
      <c r="A18" s="26" t="s">
        <v>0</v>
      </c>
      <c r="B18" s="144" t="s">
        <v>142</v>
      </c>
      <c r="C18" s="144" t="s">
        <v>143</v>
      </c>
      <c r="D18" s="142" t="s">
        <v>53</v>
      </c>
      <c r="E18" s="143" t="s">
        <v>54</v>
      </c>
      <c r="F18" s="143"/>
      <c r="G18" s="159" t="s">
        <v>144</v>
      </c>
      <c r="H18" s="160" t="s">
        <v>145</v>
      </c>
      <c r="I18" s="157" t="s">
        <v>156</v>
      </c>
      <c r="J18" s="157" t="s">
        <v>157</v>
      </c>
      <c r="K18" s="158" t="s">
        <v>23</v>
      </c>
      <c r="L18" s="158" t="s">
        <v>158</v>
      </c>
      <c r="M18" s="307"/>
      <c r="N18" s="146" t="s">
        <v>147</v>
      </c>
      <c r="O18" s="145" t="s">
        <v>148</v>
      </c>
      <c r="P18" s="172"/>
      <c r="Q18" s="172"/>
      <c r="R18" s="309"/>
      <c r="S18" s="27"/>
      <c r="T18" s="145" t="s">
        <v>8</v>
      </c>
      <c r="U18" s="145" t="s">
        <v>177</v>
      </c>
      <c r="V18" s="145" t="s">
        <v>131</v>
      </c>
      <c r="W18" s="145" t="s">
        <v>178</v>
      </c>
      <c r="X18" s="145" t="s">
        <v>113</v>
      </c>
      <c r="Y18" s="145"/>
      <c r="Z18" s="145" t="s">
        <v>114</v>
      </c>
      <c r="AA18" s="189"/>
      <c r="AB18" s="190" t="s">
        <v>124</v>
      </c>
      <c r="AC18" s="27" t="s">
        <v>16</v>
      </c>
      <c r="AD18" s="27"/>
      <c r="AE18" s="28" t="s">
        <v>9</v>
      </c>
    </row>
    <row r="19" spans="1:39">
      <c r="A19" s="267" t="s">
        <v>4</v>
      </c>
      <c r="B19" s="268"/>
      <c r="C19" s="268"/>
      <c r="D19" s="269">
        <v>1</v>
      </c>
      <c r="E19" s="269">
        <v>1</v>
      </c>
      <c r="F19" s="269" t="s">
        <v>18</v>
      </c>
      <c r="G19" s="270"/>
      <c r="H19" s="271"/>
      <c r="I19" s="272"/>
      <c r="J19" s="272"/>
      <c r="K19" s="272" t="str">
        <f>IF(AND(I19&gt;0,J19&gt;0),(I19+10)*(J19+10)*0.000001,"")</f>
        <v/>
      </c>
      <c r="L19" s="269" t="s">
        <v>65</v>
      </c>
      <c r="M19" s="266">
        <f>KosztyMaterialu(G19,H19,I19,J19,$N$2:$Q$8)</f>
        <v>0</v>
      </c>
      <c r="N19" s="273"/>
      <c r="O19" s="273"/>
      <c r="P19" s="274"/>
      <c r="Q19" s="274"/>
      <c r="R19" s="266">
        <f>KosztyCiecia(G19,H19,O19,N19,$N$9:$O$10)</f>
        <v>0</v>
      </c>
      <c r="S19" s="266">
        <f>R19*E19*D19</f>
        <v>0</v>
      </c>
      <c r="T19" s="266"/>
      <c r="U19" s="266"/>
      <c r="V19" s="266"/>
      <c r="W19" s="266"/>
      <c r="X19" s="275"/>
      <c r="Y19" s="275"/>
      <c r="Z19" s="275"/>
      <c r="AA19" s="276"/>
      <c r="AB19" s="277"/>
      <c r="AC19" s="278"/>
      <c r="AD19" s="27"/>
      <c r="AE19" s="191"/>
      <c r="AM19" s="2"/>
    </row>
    <row r="20" spans="1:39">
      <c r="A20" s="154"/>
      <c r="B20" s="187"/>
      <c r="C20" s="136"/>
      <c r="D20" s="136"/>
      <c r="E20" s="136"/>
      <c r="F20" s="136"/>
      <c r="G20" s="126"/>
      <c r="H20" s="138"/>
      <c r="I20" s="138"/>
      <c r="J20" s="138"/>
      <c r="K20" s="138"/>
      <c r="L20" s="141" t="s">
        <v>59</v>
      </c>
      <c r="M20" s="156" t="e">
        <f>SUM(#REF!)</f>
        <v>#REF!</v>
      </c>
      <c r="N20" s="2"/>
      <c r="O20" s="155"/>
      <c r="P20" s="155"/>
      <c r="Q20" s="155"/>
      <c r="R20" s="156" t="e">
        <f>SUM(#REF!)</f>
        <v>#REF!</v>
      </c>
      <c r="S20" s="139"/>
      <c r="T20" s="139"/>
      <c r="U20" s="139"/>
      <c r="V20" s="140"/>
      <c r="W20" s="140"/>
      <c r="X20" s="140"/>
      <c r="Y20" s="140"/>
      <c r="Z20" s="140"/>
      <c r="AA20" s="102"/>
      <c r="AB20" s="106"/>
      <c r="AC20" s="299" t="s">
        <v>152</v>
      </c>
      <c r="AD20" s="300"/>
      <c r="AE20" s="301"/>
      <c r="AF20" s="2"/>
      <c r="AG20"/>
    </row>
    <row r="21" spans="1:39" ht="13.8" thickBot="1">
      <c r="A21" s="135"/>
      <c r="B21" s="136"/>
      <c r="C21" s="136"/>
      <c r="D21" s="136"/>
      <c r="E21" s="136"/>
      <c r="F21" s="136"/>
      <c r="G21" s="126"/>
      <c r="H21" s="138"/>
      <c r="I21" s="138"/>
      <c r="J21" s="138"/>
      <c r="K21" s="138"/>
      <c r="N21" s="2"/>
      <c r="S21" s="139"/>
      <c r="T21" s="139"/>
      <c r="U21" s="139"/>
      <c r="V21" s="140"/>
      <c r="W21" s="140"/>
      <c r="X21" s="140"/>
      <c r="Y21" s="140"/>
      <c r="Z21" s="140"/>
      <c r="AA21" s="102"/>
      <c r="AB21" s="106"/>
      <c r="AC21" s="147">
        <f>SUM(AD19:AD20)</f>
        <v>0</v>
      </c>
      <c r="AD21" s="9"/>
      <c r="AE21" s="148">
        <f>SUM(AF19:AF20)</f>
        <v>0</v>
      </c>
      <c r="AF21" s="2"/>
      <c r="AG21"/>
    </row>
    <row r="22" spans="1:39">
      <c r="E22" s="136"/>
      <c r="J22" s="21"/>
      <c r="K22" s="21"/>
      <c r="S22" s="2"/>
      <c r="T22" s="2"/>
      <c r="U22" s="2"/>
      <c r="V22" s="2"/>
      <c r="W22" s="2"/>
      <c r="X22" s="2"/>
      <c r="Y22" s="2"/>
      <c r="Z22" s="137"/>
      <c r="AA22" s="103"/>
      <c r="AB22" s="107"/>
      <c r="AF22" s="2"/>
      <c r="AG22"/>
    </row>
    <row r="23" spans="1:39">
      <c r="AF23" s="2"/>
      <c r="AG23"/>
    </row>
    <row r="24" spans="1:39">
      <c r="AF24" s="2"/>
      <c r="AG24"/>
    </row>
    <row r="25" spans="1:39">
      <c r="AF25" s="2"/>
      <c r="AG25"/>
    </row>
    <row r="26" spans="1:39">
      <c r="AF26" s="2"/>
    </row>
    <row r="27" spans="1:39">
      <c r="AF27" s="2"/>
    </row>
    <row r="28" spans="1:39">
      <c r="AF28" s="2"/>
    </row>
    <row r="32" spans="1:39">
      <c r="AG32"/>
    </row>
    <row r="33" spans="15:35">
      <c r="AG33"/>
    </row>
    <row r="34" spans="15:35">
      <c r="AG34"/>
      <c r="AI34" s="8"/>
    </row>
    <row r="35" spans="15:35">
      <c r="AG35"/>
      <c r="AI35" s="8"/>
    </row>
    <row r="36" spans="15:35">
      <c r="AG36"/>
      <c r="AI36" s="8"/>
    </row>
    <row r="37" spans="15:35">
      <c r="AG37"/>
    </row>
    <row r="38" spans="15:35">
      <c r="AG38"/>
    </row>
    <row r="39" spans="15:35">
      <c r="AA39"/>
      <c r="AB39"/>
      <c r="AG39"/>
    </row>
    <row r="40" spans="15:35">
      <c r="R40" s="134"/>
      <c r="AA40"/>
      <c r="AB40"/>
      <c r="AG40"/>
    </row>
    <row r="41" spans="15:35">
      <c r="R41" s="134"/>
      <c r="AA41"/>
      <c r="AB41"/>
      <c r="AG41"/>
    </row>
    <row r="42" spans="15:35">
      <c r="R42" s="134"/>
      <c r="AA42"/>
      <c r="AB42"/>
      <c r="AG42"/>
    </row>
    <row r="43" spans="15:35">
      <c r="R43" s="134"/>
      <c r="AA43"/>
      <c r="AB43"/>
      <c r="AG43"/>
    </row>
    <row r="44" spans="15:35">
      <c r="O44" s="133"/>
      <c r="P44" s="133"/>
      <c r="Q44" s="133"/>
      <c r="R44" s="134"/>
      <c r="AA44"/>
      <c r="AB44"/>
      <c r="AG44"/>
    </row>
    <row r="45" spans="15:35">
      <c r="O45" s="133"/>
      <c r="P45" s="133"/>
      <c r="Q45" s="133"/>
      <c r="R45" s="134"/>
      <c r="AA45"/>
      <c r="AB45"/>
      <c r="AG45"/>
    </row>
    <row r="46" spans="15:35">
      <c r="O46" s="133"/>
      <c r="P46" s="133"/>
      <c r="Q46" s="133"/>
      <c r="R46" s="133"/>
      <c r="AA46"/>
      <c r="AB46"/>
      <c r="AG46"/>
    </row>
    <row r="47" spans="15:35">
      <c r="O47" s="128"/>
      <c r="P47" s="128"/>
      <c r="Q47" s="128"/>
      <c r="R47" s="128"/>
      <c r="AA47"/>
      <c r="AB47"/>
      <c r="AG47"/>
    </row>
    <row r="48" spans="15:35">
      <c r="AA48"/>
      <c r="AB48"/>
      <c r="AG48"/>
    </row>
    <row r="49" spans="12:33">
      <c r="AA49"/>
      <c r="AB49"/>
      <c r="AG49"/>
    </row>
    <row r="50" spans="12:33">
      <c r="M50" s="151"/>
      <c r="AA50"/>
      <c r="AB50"/>
      <c r="AG50"/>
    </row>
    <row r="51" spans="12:33">
      <c r="M51" s="151"/>
      <c r="AA51"/>
      <c r="AB51"/>
      <c r="AG51"/>
    </row>
    <row r="52" spans="12:33">
      <c r="M52" s="151"/>
      <c r="AA52"/>
      <c r="AB52"/>
      <c r="AG52"/>
    </row>
    <row r="53" spans="12:33">
      <c r="M53" s="151"/>
      <c r="AG53"/>
    </row>
    <row r="54" spans="12:33">
      <c r="L54" s="150"/>
      <c r="M54" s="151"/>
      <c r="AG54"/>
    </row>
    <row r="55" spans="12:33">
      <c r="L55" s="150"/>
      <c r="AG55"/>
    </row>
    <row r="56" spans="12:33">
      <c r="L56" s="150"/>
      <c r="AG56"/>
    </row>
    <row r="57" spans="12:33">
      <c r="L57" s="150"/>
      <c r="AG57"/>
    </row>
    <row r="58" spans="12:33">
      <c r="L58" s="150"/>
      <c r="AG58"/>
    </row>
    <row r="59" spans="12:33">
      <c r="L59" s="150"/>
      <c r="AG59"/>
    </row>
    <row r="60" spans="12:33">
      <c r="L60" s="150"/>
      <c r="AG60"/>
    </row>
    <row r="61" spans="12:33">
      <c r="AG61"/>
    </row>
    <row r="62" spans="12:33">
      <c r="AG62"/>
    </row>
    <row r="63" spans="12:33">
      <c r="AG63"/>
    </row>
    <row r="64" spans="12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83" spans="1:13">
      <c r="A83">
        <v>15</v>
      </c>
    </row>
    <row r="87" spans="1:13">
      <c r="L87" s="149">
        <v>1</v>
      </c>
      <c r="M87" s="149">
        <v>10.053127999999999</v>
      </c>
    </row>
    <row r="88" spans="1:13">
      <c r="L88" s="149">
        <v>2</v>
      </c>
      <c r="M88" s="149">
        <v>199.46625599999999</v>
      </c>
    </row>
    <row r="89" spans="1:13">
      <c r="L89" s="128"/>
      <c r="M89" s="128"/>
    </row>
  </sheetData>
  <mergeCells count="7">
    <mergeCell ref="I1:L1"/>
    <mergeCell ref="AC20:AE20"/>
    <mergeCell ref="N1:O1"/>
    <mergeCell ref="D17:F17"/>
    <mergeCell ref="M17:M18"/>
    <mergeCell ref="R17:R18"/>
    <mergeCell ref="P1:Q1"/>
  </mergeCells>
  <phoneticPr fontId="0" type="noConversion"/>
  <pageMargins left="0.75" right="0.75" top="1" bottom="1" header="0.5" footer="0.5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Wypelnij_Click">
                <anchor moveWithCells="1" sizeWithCells="1">
                  <from>
                    <xdr:col>1</xdr:col>
                    <xdr:colOff>99060</xdr:colOff>
                    <xdr:row>13</xdr:row>
                    <xdr:rowOff>45720</xdr:rowOff>
                  </from>
                  <to>
                    <xdr:col>2</xdr:col>
                    <xdr:colOff>708660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robaPodsumowanie">
                <anchor moveWithCells="1" sizeWithCells="1">
                  <from>
                    <xdr:col>4</xdr:col>
                    <xdr:colOff>259080</xdr:colOff>
                    <xdr:row>0</xdr:row>
                    <xdr:rowOff>182880</xdr:rowOff>
                  </from>
                  <to>
                    <xdr:col>7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Button 56">
              <controlPr defaultSize="0" print="0" autoFill="0" autoPict="0" macro="[0]!ZapiszJako_Click">
                <anchor moveWithCells="1" sizeWithCells="1">
                  <from>
                    <xdr:col>1</xdr:col>
                    <xdr:colOff>0</xdr:colOff>
                    <xdr:row>7</xdr:row>
                    <xdr:rowOff>137160</xdr:rowOff>
                  </from>
                  <to>
                    <xdr:col>2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theme="3" tint="0.39997558519241921"/>
  </sheetPr>
  <dimension ref="A2:P36"/>
  <sheetViews>
    <sheetView showZeros="0" zoomScale="80" zoomScaleNormal="80" workbookViewId="0">
      <selection activeCell="N11" sqref="N11"/>
    </sheetView>
  </sheetViews>
  <sheetFormatPr defaultRowHeight="13.2"/>
  <cols>
    <col min="1" max="1" width="3.5546875" bestFit="1" customWidth="1"/>
    <col min="2" max="2" width="24" customWidth="1"/>
    <col min="3" max="3" width="11.33203125" customWidth="1"/>
    <col min="4" max="4" width="5" style="1" customWidth="1"/>
    <col min="5" max="5" width="4.88671875" customWidth="1"/>
    <col min="6" max="6" width="11.109375" bestFit="1" customWidth="1"/>
    <col min="7" max="7" width="5.5546875" style="8" bestFit="1" customWidth="1"/>
    <col min="8" max="8" width="10" customWidth="1"/>
    <col min="9" max="9" width="7.109375" style="30" hidden="1" customWidth="1"/>
    <col min="10" max="10" width="10.109375" style="2" bestFit="1" customWidth="1"/>
    <col min="11" max="11" width="9.109375" style="2" customWidth="1"/>
    <col min="12" max="12" width="8" style="2" bestFit="1" customWidth="1"/>
    <col min="13" max="13" width="9.88671875" style="2" customWidth="1"/>
    <col min="14" max="14" width="10" style="2" bestFit="1" customWidth="1"/>
    <col min="15" max="15" width="12.88671875" style="2" customWidth="1"/>
    <col min="16" max="16" width="14.6640625" style="54" bestFit="1" customWidth="1"/>
  </cols>
  <sheetData>
    <row r="2" spans="1:16" ht="17.399999999999999">
      <c r="B2" s="326"/>
      <c r="C2" s="326"/>
      <c r="D2" s="326"/>
      <c r="E2" s="326"/>
      <c r="F2" s="320" t="s">
        <v>14</v>
      </c>
      <c r="G2" s="320"/>
      <c r="H2" s="320"/>
      <c r="I2" s="320"/>
      <c r="J2" s="320"/>
      <c r="K2" s="320"/>
      <c r="L2" s="320"/>
    </row>
    <row r="3" spans="1:16">
      <c r="B3" s="326"/>
      <c r="C3" s="326"/>
      <c r="D3" s="326"/>
      <c r="E3" s="326"/>
      <c r="M3" s="91"/>
      <c r="N3" s="91"/>
      <c r="O3" s="91"/>
      <c r="P3" s="91"/>
    </row>
    <row r="4" spans="1:16" ht="17.399999999999999">
      <c r="B4" s="326"/>
      <c r="C4" s="326"/>
      <c r="D4" s="326"/>
      <c r="E4" s="326"/>
      <c r="F4" s="110" t="str">
        <f>koszty!B7</f>
        <v>Zlec.nr</v>
      </c>
      <c r="G4" s="216" t="str">
        <f>koszty!C7</f>
        <v>20/</v>
      </c>
      <c r="H4" s="216" t="str">
        <f>koszty!D7</f>
        <v>09-</v>
      </c>
      <c r="I4" s="216">
        <f>koszty!E7</f>
        <v>0</v>
      </c>
      <c r="J4" s="217">
        <f>koszty!E7</f>
        <v>0</v>
      </c>
    </row>
    <row r="5" spans="1:16">
      <c r="B5" s="326"/>
      <c r="C5" s="326"/>
      <c r="D5" s="326"/>
      <c r="E5" s="326"/>
      <c r="M5" s="7"/>
    </row>
    <row r="6" spans="1:16">
      <c r="B6" s="326"/>
      <c r="C6" s="326"/>
      <c r="D6" s="326"/>
      <c r="E6" s="326"/>
    </row>
    <row r="7" spans="1:16" ht="15" customHeight="1">
      <c r="A7" s="7"/>
      <c r="B7" s="326"/>
      <c r="C7" s="326"/>
      <c r="D7" s="326"/>
      <c r="E7" s="326"/>
      <c r="F7" s="312" t="s">
        <v>2</v>
      </c>
      <c r="G7" s="313"/>
      <c r="H7" s="314"/>
      <c r="I7" s="31"/>
      <c r="J7" s="318" t="s">
        <v>5</v>
      </c>
      <c r="K7" s="318"/>
      <c r="L7" s="318"/>
      <c r="M7" s="318"/>
      <c r="N7" s="6"/>
      <c r="O7" s="6"/>
    </row>
    <row r="8" spans="1:16">
      <c r="A8" s="248" t="s">
        <v>0</v>
      </c>
      <c r="B8" s="235" t="str">
        <f>(koszty!B18)</f>
        <v>Rysunek nr</v>
      </c>
      <c r="C8" s="235" t="s">
        <v>143</v>
      </c>
      <c r="D8" s="236" t="s">
        <v>11</v>
      </c>
      <c r="E8" s="235"/>
      <c r="F8" s="179" t="s">
        <v>12</v>
      </c>
      <c r="G8" s="180" t="s">
        <v>3</v>
      </c>
      <c r="H8" s="181" t="s">
        <v>13</v>
      </c>
      <c r="I8" s="237"/>
      <c r="J8" s="182" t="s">
        <v>6</v>
      </c>
      <c r="K8" s="182" t="s">
        <v>7</v>
      </c>
      <c r="L8" s="183" t="s">
        <v>8</v>
      </c>
      <c r="M8" s="183" t="s">
        <v>115</v>
      </c>
      <c r="N8" s="238" t="s">
        <v>9</v>
      </c>
      <c r="O8" s="239" t="s">
        <v>10</v>
      </c>
      <c r="P8" s="240" t="s">
        <v>68</v>
      </c>
    </row>
    <row r="9" spans="1:16">
      <c r="A9" s="280" t="e">
        <f>koszty!#REF!</f>
        <v>#REF!</v>
      </c>
      <c r="B9" s="281" t="e">
        <f>koszty!#REF!</f>
        <v>#REF!</v>
      </c>
      <c r="C9" s="284" t="e">
        <f>koszty!#REF!</f>
        <v>#REF!</v>
      </c>
      <c r="D9" s="281" t="e">
        <f>koszty!#REF!*koszty!#REF!</f>
        <v>#REF!</v>
      </c>
      <c r="E9" s="281" t="e">
        <f>koszty!#REF!</f>
        <v>#REF!</v>
      </c>
      <c r="F9" s="282" t="e">
        <f>koszty!#REF!</f>
        <v>#REF!</v>
      </c>
      <c r="G9" s="288" t="e">
        <f>koszty!#REF!</f>
        <v>#REF!</v>
      </c>
      <c r="H9" s="281" t="e">
        <f>koszty!#REF!</f>
        <v>#REF!</v>
      </c>
      <c r="I9" s="281"/>
      <c r="J9" s="285" t="e">
        <f>koszty!#REF!</f>
        <v>#REF!</v>
      </c>
      <c r="K9" s="285" t="e">
        <f>koszty!#REF!</f>
        <v>#REF!</v>
      </c>
      <c r="L9" s="285" t="e">
        <f>koszty!#REF!</f>
        <v>#REF!</v>
      </c>
      <c r="M9" s="285" t="e">
        <f>koszty!#REF!</f>
        <v>#REF!</v>
      </c>
      <c r="N9" s="285" t="e">
        <f>SUM(J9:M9)</f>
        <v>#REF!</v>
      </c>
      <c r="O9" s="285" t="e">
        <f>SUM(N9*D9)</f>
        <v>#REF!</v>
      </c>
      <c r="P9" s="281" t="s">
        <v>209</v>
      </c>
    </row>
    <row r="10" spans="1:16" ht="15" customHeight="1">
      <c r="C10" s="265"/>
      <c r="D10"/>
      <c r="G10" s="178"/>
      <c r="H10" s="283" t="s">
        <v>59</v>
      </c>
      <c r="I10" s="283"/>
      <c r="J10" s="286" t="e">
        <f>koszty!M20</f>
        <v>#REF!</v>
      </c>
      <c r="K10" s="286" t="e">
        <f>koszty!R20</f>
        <v>#REF!</v>
      </c>
      <c r="L10" s="176"/>
      <c r="M10" s="287" t="s">
        <v>59</v>
      </c>
      <c r="N10" s="287" t="e">
        <f>SUM(N9:N9)</f>
        <v>#REF!</v>
      </c>
      <c r="O10" s="287" t="e">
        <f>SUM(O9:O9)</f>
        <v>#REF!</v>
      </c>
      <c r="P10"/>
    </row>
    <row r="11" spans="1:16" ht="15" customHeight="1">
      <c r="C11" s="265"/>
      <c r="D11"/>
      <c r="G11" s="178"/>
      <c r="I11"/>
      <c r="J11" s="176"/>
      <c r="K11" s="176"/>
      <c r="L11" s="176"/>
      <c r="M11" s="176"/>
      <c r="N11" s="176"/>
      <c r="O11" s="176"/>
      <c r="P11"/>
    </row>
    <row r="12" spans="1:16">
      <c r="C12" s="265"/>
      <c r="D12"/>
      <c r="G12" s="178"/>
      <c r="I12"/>
      <c r="J12" s="176"/>
      <c r="K12" s="176"/>
      <c r="L12" s="176"/>
      <c r="M12" s="176"/>
      <c r="N12" s="176"/>
      <c r="O12" s="176"/>
      <c r="P12"/>
    </row>
    <row r="13" spans="1:16">
      <c r="C13" s="265"/>
      <c r="D13"/>
      <c r="G13" s="178"/>
      <c r="I13"/>
      <c r="J13" s="176"/>
      <c r="K13" s="176"/>
      <c r="L13" s="176"/>
      <c r="M13" s="176"/>
      <c r="N13" s="176"/>
      <c r="O13" s="176"/>
      <c r="P13"/>
    </row>
    <row r="14" spans="1:16">
      <c r="C14" s="265"/>
      <c r="D14"/>
      <c r="G14" s="178"/>
      <c r="I14"/>
      <c r="J14" s="176"/>
      <c r="K14" s="176"/>
      <c r="L14" s="176"/>
      <c r="M14" s="176"/>
      <c r="N14" s="176"/>
      <c r="O14" s="176"/>
      <c r="P14"/>
    </row>
    <row r="15" spans="1:16">
      <c r="C15" s="265"/>
      <c r="D15"/>
      <c r="G15" s="178"/>
      <c r="I15"/>
      <c r="J15" s="176"/>
      <c r="K15" s="176"/>
      <c r="L15" s="176"/>
      <c r="M15" s="176"/>
      <c r="N15" s="176"/>
      <c r="O15" s="176"/>
      <c r="P15"/>
    </row>
    <row r="16" spans="1:16">
      <c r="C16" s="265"/>
      <c r="D16"/>
      <c r="G16" s="178"/>
      <c r="I16"/>
      <c r="J16" s="176"/>
      <c r="K16" s="176"/>
      <c r="L16" s="176"/>
      <c r="M16" s="176"/>
      <c r="N16" s="176"/>
      <c r="O16" s="176"/>
      <c r="P16"/>
    </row>
    <row r="17" spans="1:16">
      <c r="C17" s="265"/>
      <c r="D17"/>
      <c r="G17" s="178"/>
      <c r="I17"/>
      <c r="J17" s="176"/>
      <c r="K17" s="176"/>
      <c r="L17" s="176"/>
      <c r="M17" s="176"/>
      <c r="N17" s="176"/>
      <c r="O17" s="176"/>
      <c r="P17"/>
    </row>
    <row r="18" spans="1:16">
      <c r="C18" s="265"/>
      <c r="D18"/>
      <c r="G18" s="178"/>
      <c r="I18"/>
      <c r="J18" s="176"/>
      <c r="K18" s="176"/>
      <c r="L18" s="176"/>
      <c r="M18" s="176"/>
      <c r="N18" s="176"/>
      <c r="O18" s="176"/>
      <c r="P18"/>
    </row>
    <row r="19" spans="1:16">
      <c r="C19" s="265"/>
      <c r="D19"/>
      <c r="G19" s="178"/>
      <c r="I19"/>
      <c r="J19" s="176"/>
      <c r="K19" s="176"/>
      <c r="L19" s="176"/>
      <c r="M19" s="176"/>
      <c r="N19" s="176"/>
      <c r="O19" s="176"/>
      <c r="P19"/>
    </row>
    <row r="20" spans="1:16">
      <c r="C20" s="265"/>
      <c r="D20"/>
      <c r="G20" s="178"/>
      <c r="I20"/>
      <c r="J20" s="176"/>
      <c r="K20" s="176"/>
      <c r="L20" s="176"/>
      <c r="M20" s="176"/>
      <c r="N20" s="176"/>
      <c r="O20" s="176"/>
      <c r="P20"/>
    </row>
    <row r="21" spans="1:16">
      <c r="C21" s="265"/>
      <c r="D21"/>
      <c r="G21" s="178"/>
      <c r="I21"/>
      <c r="J21" s="176"/>
      <c r="K21" s="176"/>
      <c r="L21" s="176"/>
      <c r="M21" s="176"/>
      <c r="N21" s="176"/>
      <c r="O21" s="176"/>
      <c r="P21"/>
    </row>
    <row r="22" spans="1:16">
      <c r="C22" s="265"/>
      <c r="D22"/>
      <c r="G22" s="178"/>
      <c r="I22"/>
      <c r="J22" s="176"/>
      <c r="K22" s="176"/>
      <c r="L22" s="176"/>
      <c r="M22" s="176"/>
      <c r="N22" s="176"/>
      <c r="O22" s="176"/>
      <c r="P22"/>
    </row>
    <row r="23" spans="1:16">
      <c r="C23" s="265"/>
      <c r="D23"/>
      <c r="G23" s="178"/>
      <c r="I23"/>
      <c r="J23" s="176"/>
      <c r="K23" s="176"/>
      <c r="L23" s="176"/>
      <c r="M23" s="176"/>
      <c r="N23" s="176"/>
      <c r="O23" s="176"/>
      <c r="P23"/>
    </row>
    <row r="24" spans="1:16">
      <c r="C24" s="265"/>
      <c r="D24"/>
      <c r="G24" s="178"/>
      <c r="I24"/>
      <c r="J24" s="176"/>
      <c r="K24" s="176"/>
      <c r="L24" s="176"/>
      <c r="M24" s="176"/>
      <c r="N24" s="176"/>
      <c r="O24" s="176"/>
      <c r="P24"/>
    </row>
    <row r="25" spans="1:16">
      <c r="C25" s="265"/>
      <c r="D25"/>
      <c r="G25" s="178"/>
      <c r="I25"/>
      <c r="J25" s="176"/>
      <c r="K25" s="176"/>
      <c r="L25" s="176"/>
      <c r="M25" s="176"/>
      <c r="N25" s="176"/>
      <c r="O25" s="176"/>
      <c r="P25"/>
    </row>
    <row r="26" spans="1:16">
      <c r="C26" s="265"/>
      <c r="D26"/>
      <c r="G26" s="178"/>
      <c r="I26"/>
      <c r="J26" s="176"/>
      <c r="K26" s="176"/>
      <c r="L26" s="176"/>
      <c r="M26" s="176"/>
      <c r="N26" s="176"/>
      <c r="O26" s="176"/>
      <c r="P26"/>
    </row>
    <row r="27" spans="1:16">
      <c r="C27" s="265"/>
      <c r="D27"/>
      <c r="G27" s="178"/>
      <c r="I27"/>
      <c r="J27" s="176"/>
      <c r="K27" s="176"/>
      <c r="L27" s="176"/>
      <c r="M27" s="176"/>
      <c r="N27" s="176"/>
      <c r="O27" s="176"/>
      <c r="P27"/>
    </row>
    <row r="28" spans="1:16" ht="15.6">
      <c r="A28" s="7"/>
      <c r="B28" s="324" t="s">
        <v>127</v>
      </c>
      <c r="C28" s="324"/>
      <c r="D28" s="324"/>
      <c r="E28" s="324"/>
      <c r="F28" s="324"/>
      <c r="G28" s="324"/>
      <c r="H28" s="324"/>
      <c r="I28" s="325"/>
      <c r="J28" s="321" t="str">
        <f>"nr zlec."&amp;(G4)&amp;(H4)&amp;I4</f>
        <v>nr zlec.20/09-0</v>
      </c>
      <c r="K28" s="322"/>
      <c r="L28" s="323"/>
      <c r="M28" s="108"/>
      <c r="N28" s="108"/>
      <c r="O28" s="108"/>
    </row>
    <row r="29" spans="1:16">
      <c r="B29" s="316" t="s">
        <v>69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</row>
    <row r="30" spans="1:16">
      <c r="B30" s="319" t="s">
        <v>121</v>
      </c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</row>
    <row r="31" spans="1:16">
      <c r="B31" s="319" t="s">
        <v>122</v>
      </c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</row>
    <row r="32" spans="1:16">
      <c r="B32" s="317" t="s">
        <v>68</v>
      </c>
      <c r="C32" s="317"/>
      <c r="D32" s="315"/>
      <c r="E32" s="315"/>
      <c r="F32" s="315"/>
      <c r="G32" s="315"/>
      <c r="I32" s="32" t="s">
        <v>21</v>
      </c>
    </row>
    <row r="33" spans="3:15">
      <c r="I33" s="311" t="s">
        <v>19</v>
      </c>
      <c r="J33" s="311"/>
      <c r="K33" s="311"/>
      <c r="L33" s="311"/>
      <c r="M33" s="311"/>
      <c r="N33" s="311"/>
      <c r="O33" s="311"/>
    </row>
    <row r="35" spans="3:15">
      <c r="C35" s="18"/>
      <c r="I35" s="33" t="s">
        <v>20</v>
      </c>
    </row>
    <row r="36" spans="3:15">
      <c r="I36" s="33" t="s">
        <v>64</v>
      </c>
    </row>
  </sheetData>
  <mergeCells count="12">
    <mergeCell ref="F2:L2"/>
    <mergeCell ref="B30:O30"/>
    <mergeCell ref="J28:L28"/>
    <mergeCell ref="B28:I28"/>
    <mergeCell ref="B2:E7"/>
    <mergeCell ref="I33:O33"/>
    <mergeCell ref="F7:H7"/>
    <mergeCell ref="D32:G32"/>
    <mergeCell ref="B29:O29"/>
    <mergeCell ref="B32:C32"/>
    <mergeCell ref="J7:M7"/>
    <mergeCell ref="B31:O31"/>
  </mergeCells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79" r:id="rId4" name="Button 1395">
              <controlPr defaultSize="0" print="0" autoFill="0" autoPict="0" macro="[0]!dodajWierszLaser">
                <anchor moveWithCells="1" sizeWithCells="1">
                  <from>
                    <xdr:col>12</xdr:col>
                    <xdr:colOff>68580</xdr:colOff>
                    <xdr:row>0</xdr:row>
                    <xdr:rowOff>137160</xdr:rowOff>
                  </from>
                  <to>
                    <xdr:col>14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theme="0"/>
  </sheetPr>
  <dimension ref="A1:N40"/>
  <sheetViews>
    <sheetView showZeros="0" zoomScale="80" zoomScaleNormal="80" workbookViewId="0">
      <selection activeCell="L9" sqref="L9"/>
    </sheetView>
  </sheetViews>
  <sheetFormatPr defaultRowHeight="13.2"/>
  <cols>
    <col min="1" max="1" width="6.33203125" bestFit="1" customWidth="1"/>
    <col min="2" max="2" width="8.33203125" customWidth="1"/>
    <col min="3" max="3" width="6.6640625" bestFit="1" customWidth="1"/>
    <col min="4" max="5" width="5.33203125" customWidth="1"/>
    <col min="6" max="6" width="12.33203125" customWidth="1"/>
    <col min="7" max="7" width="6.33203125" customWidth="1"/>
    <col min="8" max="8" width="10.6640625" customWidth="1"/>
    <col min="9" max="9" width="13.5546875" customWidth="1"/>
    <col min="10" max="10" width="8.33203125" bestFit="1" customWidth="1"/>
    <col min="11" max="11" width="10.109375" bestFit="1" customWidth="1"/>
    <col min="12" max="12" width="12.109375" bestFit="1" customWidth="1"/>
    <col min="15" max="15" width="11.109375" customWidth="1"/>
  </cols>
  <sheetData>
    <row r="1" spans="1:14">
      <c r="C1" s="18" t="str">
        <f>koszty!B7</f>
        <v>Zlec.nr</v>
      </c>
      <c r="D1" s="18" t="str">
        <f>koszty!C7</f>
        <v>20/</v>
      </c>
      <c r="E1" s="1" t="str">
        <f>koszty!D7</f>
        <v>09-</v>
      </c>
      <c r="F1" s="120">
        <f>koszty!E7</f>
        <v>0</v>
      </c>
      <c r="G1" s="8"/>
      <c r="J1" s="3" t="s">
        <v>72</v>
      </c>
      <c r="K1" s="48">
        <f ca="1">TODAY()</f>
        <v>44149</v>
      </c>
      <c r="L1" s="2"/>
    </row>
    <row r="2" spans="1:14">
      <c r="E2" s="1"/>
      <c r="G2" s="8"/>
      <c r="J2" s="2"/>
      <c r="K2" s="2"/>
      <c r="L2" s="2"/>
    </row>
    <row r="3" spans="1:14">
      <c r="B3" s="197" t="s">
        <v>14</v>
      </c>
      <c r="C3" s="197"/>
      <c r="D3" s="197"/>
      <c r="E3" s="197"/>
      <c r="F3" s="197"/>
      <c r="G3" s="197"/>
      <c r="H3" s="197"/>
      <c r="I3" s="1"/>
      <c r="J3" s="176"/>
      <c r="K3" s="176"/>
      <c r="L3" s="176"/>
    </row>
    <row r="4" spans="1:14">
      <c r="E4" s="1"/>
      <c r="G4" s="8"/>
      <c r="J4" s="176"/>
      <c r="K4" s="176"/>
      <c r="L4" s="176"/>
    </row>
    <row r="5" spans="1:14">
      <c r="A5" s="7"/>
      <c r="B5" s="7"/>
      <c r="C5" s="7"/>
      <c r="D5" s="197"/>
      <c r="E5" s="197"/>
      <c r="F5" s="327" t="s">
        <v>2</v>
      </c>
      <c r="G5" s="327"/>
      <c r="H5" s="197"/>
      <c r="I5" s="7"/>
      <c r="J5" s="328" t="s">
        <v>5</v>
      </c>
      <c r="K5" s="328"/>
      <c r="L5" s="328"/>
    </row>
    <row r="6" spans="1:14" ht="15" customHeight="1">
      <c r="A6" s="249" t="s">
        <v>0</v>
      </c>
      <c r="B6" s="249" t="s">
        <v>1</v>
      </c>
      <c r="C6" s="249" t="str">
        <f>(koszty!C18)</f>
        <v>Element nr</v>
      </c>
      <c r="D6" s="250" t="s">
        <v>125</v>
      </c>
      <c r="E6" s="250"/>
      <c r="F6" s="249" t="s">
        <v>12</v>
      </c>
      <c r="G6" s="251" t="s">
        <v>3</v>
      </c>
      <c r="H6" s="252" t="s">
        <v>13</v>
      </c>
      <c r="I6" s="252" t="s">
        <v>22</v>
      </c>
      <c r="J6" s="253" t="str">
        <f>(koszty!Z18)</f>
        <v>RAL</v>
      </c>
      <c r="K6" s="254" t="s">
        <v>119</v>
      </c>
      <c r="L6" s="254" t="s">
        <v>10</v>
      </c>
    </row>
    <row r="7" spans="1:14">
      <c r="A7" s="291" t="e">
        <f>koszty!#REF!</f>
        <v>#REF!</v>
      </c>
      <c r="B7" s="291" t="e">
        <f>koszty!#REF!</f>
        <v>#REF!</v>
      </c>
      <c r="C7" s="291" t="e">
        <f>koszty!#REF!</f>
        <v>#REF!</v>
      </c>
      <c r="D7" s="291" t="e">
        <f>koszty!#REF!*koszty!#REF!</f>
        <v>#REF!</v>
      </c>
      <c r="E7" s="291" t="e">
        <f>koszty!#REF!</f>
        <v>#REF!</v>
      </c>
      <c r="F7" s="292" t="e">
        <f>koszty!#REF!</f>
        <v>#REF!</v>
      </c>
      <c r="G7" s="291" t="e">
        <f>koszty!#REF!</f>
        <v>#REF!</v>
      </c>
      <c r="H7" s="291" t="e">
        <f>koszty!#REF!</f>
        <v>#REF!</v>
      </c>
      <c r="I7" s="291"/>
      <c r="J7" s="293" t="e">
        <f>koszty!#REF!</f>
        <v>#REF!</v>
      </c>
      <c r="K7" s="293" t="e">
        <f>J7</f>
        <v>#REF!</v>
      </c>
      <c r="L7" s="294" t="e">
        <f>D7*J7</f>
        <v>#REF!</v>
      </c>
    </row>
    <row r="8" spans="1:14">
      <c r="I8" s="295" t="s">
        <v>59</v>
      </c>
      <c r="J8" s="286" t="e">
        <f>SUM(J7:J7)</f>
        <v>#REF!</v>
      </c>
      <c r="K8" s="286" t="e">
        <f>SUM(K7:K7)</f>
        <v>#REF!</v>
      </c>
      <c r="L8" s="286" t="e">
        <f>SUM(L7:L7)</f>
        <v>#REF!</v>
      </c>
    </row>
    <row r="9" spans="1:14" ht="11.4" customHeight="1"/>
    <row r="10" spans="1:14" ht="12.6" customHeight="1"/>
    <row r="11" spans="1:14">
      <c r="M11" s="2"/>
      <c r="N11" s="2">
        <f>SUM(N8:N10)</f>
        <v>0</v>
      </c>
    </row>
    <row r="12" spans="1:14">
      <c r="N12" s="193"/>
    </row>
    <row r="13" spans="1:14">
      <c r="N13" s="193"/>
    </row>
    <row r="14" spans="1:14" ht="13.2" customHeight="1">
      <c r="N14" s="192"/>
    </row>
    <row r="15" spans="1:14" ht="13.2" customHeight="1">
      <c r="N15" s="192"/>
    </row>
    <row r="16" spans="1:14" ht="13.8">
      <c r="N16" s="198"/>
    </row>
    <row r="23" spans="13:13">
      <c r="M23" s="193"/>
    </row>
    <row r="24" spans="13:13">
      <c r="M24" s="193"/>
    </row>
    <row r="25" spans="13:13" ht="16.2" customHeight="1"/>
    <row r="26" spans="13:13" ht="13.2" customHeight="1"/>
    <row r="35" spans="2:12">
      <c r="B35" s="202" t="str">
        <f>"Na wszystkich dokumentach bezwzględnie wymagany nasz    nr zlec."&amp;(D1)&amp;(E1)&amp;(F1)</f>
        <v>Na wszystkich dokumentach bezwzględnie wymagany nasz    nr zlec.20/09-0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</row>
    <row r="36" spans="2:12">
      <c r="B36" s="193" t="s">
        <v>69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</row>
    <row r="37" spans="2:12">
      <c r="B37" s="193" t="s">
        <v>121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2:12">
      <c r="B38" s="193" t="s">
        <v>122</v>
      </c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2:12" ht="13.8"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</row>
    <row r="40" spans="2:12" ht="13.8">
      <c r="B40" s="196" t="s">
        <v>68</v>
      </c>
      <c r="C40" s="201" t="s">
        <v>179</v>
      </c>
      <c r="D40" s="196"/>
      <c r="E40" s="196"/>
      <c r="F40" s="199"/>
      <c r="G40" s="199"/>
      <c r="H40" s="199"/>
      <c r="J40" s="2"/>
      <c r="K40" s="2"/>
      <c r="L40" s="2"/>
    </row>
  </sheetData>
  <mergeCells count="2">
    <mergeCell ref="F5:G5"/>
    <mergeCell ref="J5:L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odajWierszRA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22860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00B050"/>
  </sheetPr>
  <dimension ref="A1:AA79"/>
  <sheetViews>
    <sheetView showZeros="0" zoomScale="80" zoomScaleNormal="80" workbookViewId="0">
      <selection activeCell="O9" sqref="O9"/>
    </sheetView>
  </sheetViews>
  <sheetFormatPr defaultRowHeight="13.2"/>
  <cols>
    <col min="1" max="1" width="3" bestFit="1" customWidth="1"/>
    <col min="2" max="2" width="19" customWidth="1"/>
    <col min="3" max="3" width="12.5546875" customWidth="1"/>
    <col min="4" max="6" width="6.6640625" bestFit="1" customWidth="1"/>
    <col min="7" max="7" width="15.5546875" customWidth="1"/>
    <col min="8" max="8" width="6.6640625" style="29" bestFit="1" customWidth="1"/>
    <col min="9" max="9" width="6.6640625" customWidth="1"/>
    <col min="10" max="10" width="13.5546875" bestFit="1" customWidth="1"/>
    <col min="11" max="11" width="9.109375" bestFit="1" customWidth="1"/>
    <col min="12" max="12" width="12.109375" bestFit="1" customWidth="1"/>
    <col min="13" max="13" width="2.5546875" hidden="1" customWidth="1"/>
    <col min="14" max="14" width="16" style="2" bestFit="1" customWidth="1"/>
    <col min="15" max="15" width="17.88671875" style="2" bestFit="1" customWidth="1"/>
    <col min="17" max="17" width="12" bestFit="1" customWidth="1"/>
    <col min="23" max="23" width="13.5546875" bestFit="1" customWidth="1"/>
  </cols>
  <sheetData>
    <row r="1" spans="1:27">
      <c r="B1" s="330"/>
      <c r="C1" s="330"/>
      <c r="H1" s="44" t="s">
        <v>70</v>
      </c>
      <c r="I1" s="43"/>
    </row>
    <row r="3" spans="1:27">
      <c r="C3" s="18" t="str">
        <f>laser!F4</f>
        <v>Zlec.nr</v>
      </c>
      <c r="D3" s="18" t="str">
        <f>laser!G4</f>
        <v>20/</v>
      </c>
      <c r="E3" s="1" t="str">
        <f>laser!H4</f>
        <v>09-</v>
      </c>
      <c r="F3" s="7">
        <f>laser!I4</f>
        <v>0</v>
      </c>
    </row>
    <row r="5" spans="1:27">
      <c r="D5" s="229" t="str">
        <f>(koszty!D17)</f>
        <v>ilosć</v>
      </c>
      <c r="G5" s="329" t="s">
        <v>2</v>
      </c>
      <c r="H5" s="329"/>
      <c r="I5" s="230" t="s">
        <v>15</v>
      </c>
      <c r="J5" s="2"/>
      <c r="K5" s="5"/>
      <c r="M5" s="2"/>
    </row>
    <row r="6" spans="1:27">
      <c r="A6" s="255" t="s">
        <v>0</v>
      </c>
      <c r="B6" s="255" t="str">
        <f>(koszty!B18)</f>
        <v>Rysunek nr</v>
      </c>
      <c r="C6" s="255" t="str">
        <f>(koszty!C18)</f>
        <v>Element nr</v>
      </c>
      <c r="D6" s="255" t="str">
        <f>(koszty!D18)</f>
        <v>kpl.</v>
      </c>
      <c r="E6" s="255" t="str">
        <f>(koszty!E18)</f>
        <v>w kpl</v>
      </c>
      <c r="F6" s="255"/>
      <c r="G6" s="255" t="s">
        <v>12</v>
      </c>
      <c r="H6" s="256" t="s">
        <v>3</v>
      </c>
      <c r="I6" s="257"/>
      <c r="J6" s="258" t="s">
        <v>9</v>
      </c>
      <c r="K6" s="259" t="s">
        <v>116</v>
      </c>
      <c r="L6" s="258" t="s">
        <v>9</v>
      </c>
      <c r="M6" s="260"/>
      <c r="N6" s="258" t="s">
        <v>180</v>
      </c>
      <c r="O6" s="261" t="s">
        <v>181</v>
      </c>
    </row>
    <row r="7" spans="1:27">
      <c r="A7" s="291" t="e">
        <f>koszty!#REF!</f>
        <v>#REF!</v>
      </c>
      <c r="B7" s="291" t="e">
        <f>koszty!#REF!</f>
        <v>#REF!</v>
      </c>
      <c r="C7" s="291" t="e">
        <f>koszty!#REF!</f>
        <v>#REF!</v>
      </c>
      <c r="D7" s="291" t="e">
        <f>koszty!#REF!</f>
        <v>#REF!</v>
      </c>
      <c r="E7" s="291" t="e">
        <f>koszty!#REF!</f>
        <v>#REF!</v>
      </c>
      <c r="F7" s="291" t="e">
        <f>koszty!#REF!</f>
        <v>#REF!</v>
      </c>
      <c r="G7" s="292" t="e">
        <f>koszty!#REF!</f>
        <v>#REF!</v>
      </c>
      <c r="H7" s="291" t="e">
        <f>koszty!#REF!</f>
        <v>#REF!</v>
      </c>
      <c r="I7" s="291"/>
      <c r="J7" s="294" t="e">
        <f>koszty!#REF!</f>
        <v>#REF!</v>
      </c>
      <c r="K7" s="294"/>
      <c r="L7" s="294" t="e">
        <f>J7</f>
        <v>#REF!</v>
      </c>
      <c r="M7" s="294"/>
      <c r="N7" s="294" t="e">
        <f>L7*D7*E7</f>
        <v>#REF!</v>
      </c>
      <c r="O7" s="297" t="e">
        <f>N7/4</f>
        <v>#REF!</v>
      </c>
    </row>
    <row r="8" spans="1:27">
      <c r="H8"/>
      <c r="I8" s="279" t="s">
        <v>59</v>
      </c>
      <c r="J8" s="287" t="e">
        <f>SUM(J7:J7)</f>
        <v>#REF!</v>
      </c>
      <c r="K8" s="279"/>
      <c r="L8" s="287" t="e">
        <f>SUM(L7:L7)</f>
        <v>#REF!</v>
      </c>
      <c r="M8" s="279"/>
      <c r="N8" s="287" t="e">
        <f>SUM(N7:N7)</f>
        <v>#REF!</v>
      </c>
      <c r="O8" s="296" t="e">
        <f>SUM(O7:O7)</f>
        <v>#REF!</v>
      </c>
    </row>
    <row r="9" spans="1:27">
      <c r="H9"/>
      <c r="N9"/>
      <c r="O9"/>
    </row>
    <row r="10" spans="1:27">
      <c r="H10"/>
      <c r="N10"/>
      <c r="O10"/>
    </row>
    <row r="11" spans="1:27">
      <c r="H11"/>
      <c r="N11"/>
      <c r="O11"/>
    </row>
    <row r="12" spans="1:27">
      <c r="H12"/>
      <c r="N12"/>
      <c r="O12"/>
    </row>
    <row r="13" spans="1:27">
      <c r="H13"/>
      <c r="N13"/>
      <c r="O13"/>
    </row>
    <row r="14" spans="1:27">
      <c r="H14"/>
      <c r="N14"/>
      <c r="O14"/>
    </row>
    <row r="15" spans="1:27" hidden="1">
      <c r="H15"/>
      <c r="N15"/>
      <c r="O15"/>
      <c r="AA15" s="92">
        <f t="shared" ref="AA15:AA26" si="0">SUM(Z15*E15*D15)</f>
        <v>0</v>
      </c>
    </row>
    <row r="16" spans="1:27" hidden="1">
      <c r="H16"/>
      <c r="N16"/>
      <c r="O16"/>
      <c r="AA16" s="92">
        <f t="shared" si="0"/>
        <v>0</v>
      </c>
    </row>
    <row r="17" spans="8:27" hidden="1">
      <c r="H17"/>
      <c r="N17"/>
      <c r="O17"/>
      <c r="AA17" s="92">
        <f t="shared" si="0"/>
        <v>0</v>
      </c>
    </row>
    <row r="18" spans="8:27" hidden="1">
      <c r="H18"/>
      <c r="N18"/>
      <c r="O18"/>
      <c r="AA18" s="92">
        <f t="shared" si="0"/>
        <v>0</v>
      </c>
    </row>
    <row r="19" spans="8:27" hidden="1">
      <c r="H19"/>
      <c r="N19"/>
      <c r="O19"/>
      <c r="AA19" s="92">
        <f t="shared" si="0"/>
        <v>0</v>
      </c>
    </row>
    <row r="20" spans="8:27" hidden="1">
      <c r="H20"/>
      <c r="N20"/>
      <c r="O20"/>
      <c r="AA20" s="92">
        <f t="shared" si="0"/>
        <v>0</v>
      </c>
    </row>
    <row r="21" spans="8:27" hidden="1">
      <c r="H21"/>
      <c r="N21"/>
      <c r="O21"/>
      <c r="AA21" s="92">
        <f t="shared" si="0"/>
        <v>0</v>
      </c>
    </row>
    <row r="22" spans="8:27" hidden="1">
      <c r="H22"/>
      <c r="N22"/>
      <c r="O22"/>
      <c r="AA22" s="92">
        <f t="shared" si="0"/>
        <v>0</v>
      </c>
    </row>
    <row r="23" spans="8:27" hidden="1">
      <c r="H23"/>
      <c r="N23"/>
      <c r="O23"/>
      <c r="AA23" s="92">
        <f t="shared" si="0"/>
        <v>0</v>
      </c>
    </row>
    <row r="24" spans="8:27" hidden="1">
      <c r="H24"/>
      <c r="N24"/>
      <c r="O24"/>
      <c r="AA24" s="92">
        <f t="shared" si="0"/>
        <v>0</v>
      </c>
    </row>
    <row r="25" spans="8:27" hidden="1">
      <c r="H25"/>
      <c r="N25"/>
      <c r="O25"/>
      <c r="AA25" s="92">
        <f t="shared" si="0"/>
        <v>0</v>
      </c>
    </row>
    <row r="26" spans="8:27" hidden="1">
      <c r="H26"/>
      <c r="N26"/>
      <c r="O26"/>
      <c r="AA26" s="92">
        <f t="shared" si="0"/>
        <v>0</v>
      </c>
    </row>
    <row r="27" spans="8:27" hidden="1">
      <c r="H27"/>
      <c r="N27"/>
      <c r="O27"/>
      <c r="AA27" s="119"/>
    </row>
    <row r="28" spans="8:27">
      <c r="H28"/>
      <c r="N28"/>
      <c r="O28"/>
    </row>
    <row r="29" spans="8:27">
      <c r="H29"/>
      <c r="N29"/>
      <c r="O29"/>
    </row>
    <row r="30" spans="8:27" ht="13.8" thickBot="1">
      <c r="H30"/>
      <c r="N30"/>
      <c r="O30"/>
    </row>
    <row r="31" spans="8:27" ht="13.8" thickBot="1">
      <c r="H31"/>
      <c r="N31"/>
      <c r="O31"/>
      <c r="Q31" s="29"/>
      <c r="S31" s="18" t="s">
        <v>37</v>
      </c>
      <c r="T31" s="5"/>
      <c r="U31" s="34">
        <f>SUM(S31)</f>
        <v>0</v>
      </c>
      <c r="W31" s="93" t="e">
        <f>SUM(O7:O26)</f>
        <v>#REF!</v>
      </c>
      <c r="X31" s="2"/>
    </row>
    <row r="32" spans="8:27">
      <c r="H32"/>
      <c r="N32"/>
      <c r="O32"/>
      <c r="Q32" s="29"/>
      <c r="W32" s="2"/>
      <c r="X32" s="2"/>
    </row>
    <row r="33" spans="8:25">
      <c r="H33"/>
      <c r="N33"/>
      <c r="O33"/>
      <c r="P33" s="331" t="s">
        <v>126</v>
      </c>
      <c r="Q33" s="331"/>
      <c r="R33" s="331"/>
      <c r="S33" s="331"/>
      <c r="U33" s="54"/>
      <c r="W33" s="109"/>
      <c r="X33" s="2"/>
    </row>
    <row r="34" spans="8:25">
      <c r="H34"/>
      <c r="N34"/>
      <c r="O34"/>
      <c r="Q34" s="29"/>
      <c r="U34" s="2"/>
      <c r="W34" s="90"/>
      <c r="X34" s="2"/>
    </row>
    <row r="35" spans="8:25">
      <c r="H35"/>
      <c r="N35"/>
      <c r="O35"/>
      <c r="Q35" s="29"/>
      <c r="W35" s="90"/>
      <c r="X35" s="2"/>
    </row>
    <row r="36" spans="8:25">
      <c r="H36"/>
      <c r="N36"/>
      <c r="O36"/>
      <c r="Q36" s="29"/>
      <c r="S36" s="120" t="s">
        <v>133</v>
      </c>
      <c r="T36" t="s">
        <v>134</v>
      </c>
      <c r="U36" s="23">
        <v>500</v>
      </c>
      <c r="V36" s="23"/>
      <c r="W36" s="122">
        <f>SUM(U36/4)</f>
        <v>125</v>
      </c>
      <c r="X36" s="2"/>
    </row>
    <row r="37" spans="8:25">
      <c r="H37"/>
      <c r="N37"/>
      <c r="O37"/>
      <c r="Q37" s="29"/>
      <c r="S37" t="s">
        <v>135</v>
      </c>
      <c r="U37" s="23">
        <v>200</v>
      </c>
      <c r="V37" s="23"/>
      <c r="W37" s="122">
        <f>SUM(U37/4)</f>
        <v>50</v>
      </c>
      <c r="X37" s="2"/>
    </row>
    <row r="38" spans="8:25">
      <c r="Q38" s="29"/>
      <c r="U38" s="23"/>
      <c r="V38" s="23"/>
      <c r="W38" s="122">
        <f>SUM(U38/4)</f>
        <v>0</v>
      </c>
      <c r="X38" s="2"/>
    </row>
    <row r="39" spans="8:25">
      <c r="Q39" s="29"/>
      <c r="U39" s="23"/>
      <c r="V39" s="23"/>
      <c r="W39" s="122">
        <f>SUM(U39/4)</f>
        <v>0</v>
      </c>
      <c r="X39" s="2"/>
    </row>
    <row r="40" spans="8:25">
      <c r="Q40" s="29"/>
      <c r="U40" s="23"/>
      <c r="V40" s="23"/>
      <c r="W40" s="122">
        <f>SUM(U40/4)</f>
        <v>0</v>
      </c>
      <c r="X40" s="2"/>
    </row>
    <row r="41" spans="8:25">
      <c r="Q41" s="29"/>
      <c r="U41" s="23"/>
      <c r="V41" s="23"/>
      <c r="W41" s="25"/>
      <c r="X41" s="2"/>
    </row>
    <row r="42" spans="8:25">
      <c r="Q42" s="29"/>
      <c r="W42" s="2"/>
      <c r="X42" s="2"/>
    </row>
    <row r="43" spans="8:25" ht="15.6">
      <c r="Q43" s="29"/>
      <c r="W43" s="121" t="e">
        <f>SUM(W31:W41)</f>
        <v>#REF!</v>
      </c>
      <c r="X43" s="2"/>
    </row>
    <row r="44" spans="8:25">
      <c r="Q44" s="29"/>
      <c r="W44" s="2"/>
      <c r="X44" s="2"/>
    </row>
    <row r="45" spans="8:25">
      <c r="Q45" s="29"/>
      <c r="W45" s="123">
        <f>SUM(koszty!AH14)</f>
        <v>0</v>
      </c>
      <c r="X45" s="25"/>
      <c r="Y45" s="124" t="s">
        <v>136</v>
      </c>
    </row>
    <row r="46" spans="8:25">
      <c r="Q46" s="29"/>
      <c r="W46" s="25"/>
      <c r="X46" s="25"/>
      <c r="Y46" s="124"/>
    </row>
    <row r="47" spans="8:25">
      <c r="Q47" s="29"/>
      <c r="W47" s="122" t="e">
        <f>SUM(W43/W45)</f>
        <v>#REF!</v>
      </c>
      <c r="X47" s="25"/>
      <c r="Y47" s="124" t="s">
        <v>136</v>
      </c>
    </row>
    <row r="48" spans="8:25">
      <c r="Q48" s="29"/>
      <c r="W48" s="122"/>
      <c r="X48" s="25"/>
      <c r="Y48" s="124"/>
    </row>
    <row r="49" spans="4:25">
      <c r="Q49" s="29"/>
      <c r="W49" s="122" t="e">
        <f>SUM(W43/101)</f>
        <v>#REF!</v>
      </c>
      <c r="X49" s="25"/>
      <c r="Y49" s="124" t="s">
        <v>137</v>
      </c>
    </row>
    <row r="50" spans="4:25">
      <c r="Q50" s="29"/>
      <c r="W50" s="122"/>
      <c r="X50" s="25"/>
      <c r="Y50" s="124"/>
    </row>
    <row r="51" spans="4:25">
      <c r="Q51" s="29"/>
      <c r="W51" s="122" t="e">
        <f>SUM(W43/D10)</f>
        <v>#REF!</v>
      </c>
      <c r="X51" s="25"/>
      <c r="Y51" s="124" t="s">
        <v>138</v>
      </c>
    </row>
    <row r="52" spans="4:25">
      <c r="D52" s="29"/>
      <c r="H52"/>
      <c r="J52" s="2"/>
      <c r="K52" s="2"/>
      <c r="N52"/>
    </row>
    <row r="53" spans="4:25">
      <c r="N53"/>
    </row>
    <row r="54" spans="4:25">
      <c r="N54"/>
    </row>
    <row r="55" spans="4:25">
      <c r="N55"/>
    </row>
    <row r="56" spans="4:25">
      <c r="N56"/>
    </row>
    <row r="57" spans="4:25">
      <c r="N57"/>
    </row>
    <row r="58" spans="4:25">
      <c r="N58"/>
    </row>
    <row r="59" spans="4:25">
      <c r="N59"/>
    </row>
    <row r="60" spans="4:25">
      <c r="N60"/>
    </row>
    <row r="61" spans="4:25">
      <c r="N61"/>
    </row>
    <row r="62" spans="4:25">
      <c r="N62"/>
    </row>
    <row r="63" spans="4:25">
      <c r="N63"/>
    </row>
    <row r="64" spans="4:25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</sheetData>
  <mergeCells count="3">
    <mergeCell ref="G5:H5"/>
    <mergeCell ref="B1:C1"/>
    <mergeCell ref="P33:S33"/>
  </mergeCells>
  <phoneticPr fontId="0" type="noConversion"/>
  <pageMargins left="0.27559055118110237" right="0.47244094488188981" top="0.51181102362204722" bottom="0.98425196850393704" header="0.31496062992125984" footer="0.51181102362204722"/>
  <pageSetup paperSize="9" orientation="landscape" r:id="rId1"/>
  <headerFooter alignWithMargins="0"/>
  <rowBreaks count="3" manualBreakCount="3">
    <brk id="29" max="16383" man="1"/>
    <brk id="30" max="16383" man="1"/>
    <brk id="33" max="16383" man="1"/>
  </rowBreaks>
  <colBreaks count="2" manualBreakCount="2">
    <brk id="2" max="1048575" man="1"/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8" r:id="rId4" name="Button 68">
              <controlPr defaultSize="0" print="0" autoFill="0" autoPict="0" macro="[0]!dodajWierszKlient">
                <anchor moveWithCells="1" sizeWithCells="1">
                  <from>
                    <xdr:col>13</xdr:col>
                    <xdr:colOff>1089660</xdr:colOff>
                    <xdr:row>1</xdr:row>
                    <xdr:rowOff>0</xdr:rowOff>
                  </from>
                  <to>
                    <xdr:col>15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theme="7" tint="0.39997558519241921"/>
    <pageSetUpPr fitToPage="1"/>
  </sheetPr>
  <dimension ref="A1:AH52"/>
  <sheetViews>
    <sheetView showZeros="0" topLeftCell="A4" zoomScale="85" zoomScaleNormal="85" workbookViewId="0">
      <selection activeCell="K22" sqref="K22:P22"/>
    </sheetView>
  </sheetViews>
  <sheetFormatPr defaultRowHeight="13.2"/>
  <cols>
    <col min="1" max="1" width="1.5546875" customWidth="1"/>
    <col min="2" max="2" width="3.5546875" bestFit="1" customWidth="1"/>
    <col min="3" max="3" width="18.5546875" customWidth="1"/>
    <col min="4" max="4" width="4.6640625" customWidth="1"/>
    <col min="5" max="5" width="12.5546875" bestFit="1" customWidth="1"/>
    <col min="6" max="6" width="5" bestFit="1" customWidth="1"/>
    <col min="7" max="7" width="4.109375" bestFit="1" customWidth="1"/>
    <col min="8" max="8" width="8" customWidth="1"/>
    <col min="9" max="9" width="1.5546875" customWidth="1"/>
    <col min="10" max="10" width="3.5546875" bestFit="1" customWidth="1"/>
    <col min="11" max="11" width="12.109375" bestFit="1" customWidth="1"/>
    <col min="12" max="12" width="3.6640625" customWidth="1"/>
    <col min="13" max="13" width="3.33203125" customWidth="1"/>
    <col min="14" max="14" width="7.5546875" bestFit="1" customWidth="1"/>
    <col min="15" max="15" width="4.44140625" customWidth="1"/>
    <col min="16" max="16" width="9.33203125" customWidth="1"/>
    <col min="17" max="17" width="1.44140625" customWidth="1"/>
    <col min="18" max="25" width="9.109375" customWidth="1"/>
    <col min="26" max="26" width="20.109375" bestFit="1" customWidth="1"/>
    <col min="27" max="27" width="8.33203125" bestFit="1" customWidth="1"/>
    <col min="28" max="28" width="9.33203125" bestFit="1" customWidth="1"/>
    <col min="29" max="29" width="10.5546875" customWidth="1"/>
    <col min="30" max="30" width="9" customWidth="1"/>
    <col min="31" max="32" width="11.6640625" customWidth="1"/>
    <col min="33" max="33" width="9.88671875" customWidth="1"/>
    <col min="34" max="34" width="16" customWidth="1"/>
  </cols>
  <sheetData>
    <row r="1" spans="1:34">
      <c r="A1" s="326"/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</row>
    <row r="2" spans="1:34">
      <c r="A2" s="326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</row>
    <row r="3" spans="1:34" ht="39.75" customHeight="1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</row>
    <row r="4" spans="1:34" ht="39" customHeight="1">
      <c r="A4" s="326"/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</row>
    <row r="5" spans="1:34">
      <c r="A5" s="11"/>
      <c r="B5" s="347" t="s">
        <v>200</v>
      </c>
      <c r="C5" s="347"/>
      <c r="D5" s="347"/>
      <c r="E5" s="218" t="e">
        <f>RIGHT(koszty!#REF!, LEN(koszty!#REF!) - 8)</f>
        <v>#REF!</v>
      </c>
      <c r="F5" s="47"/>
      <c r="G5" s="347">
        <f>SUM(klient!I1)</f>
        <v>0</v>
      </c>
      <c r="H5" s="347"/>
      <c r="I5" s="11"/>
      <c r="J5" s="11"/>
      <c r="K5" s="188"/>
      <c r="L5" s="11"/>
      <c r="M5" s="345" t="s">
        <v>48</v>
      </c>
      <c r="N5" s="345"/>
      <c r="O5" s="345"/>
      <c r="P5" s="11"/>
      <c r="Q5" s="11"/>
    </row>
    <row r="6" spans="1:34">
      <c r="A6" s="11"/>
      <c r="B6" s="347" t="s">
        <v>25</v>
      </c>
      <c r="C6" s="347"/>
      <c r="D6" s="347"/>
      <c r="E6" s="47" t="str">
        <f>(koszty!B7)</f>
        <v>Zlec.nr</v>
      </c>
      <c r="F6" s="47" t="str">
        <f>(koszty!C7)</f>
        <v>20/</v>
      </c>
      <c r="G6" s="46" t="str">
        <f>(koszty!D7)</f>
        <v>09-</v>
      </c>
      <c r="H6" s="39">
        <f>(koszty!E7)</f>
        <v>0</v>
      </c>
      <c r="I6" s="11"/>
      <c r="J6" s="11"/>
      <c r="K6" s="11"/>
      <c r="L6" s="11"/>
      <c r="M6" s="11"/>
      <c r="N6" s="345" t="s">
        <v>72</v>
      </c>
      <c r="O6" s="345"/>
      <c r="P6" s="339">
        <f ca="1">TODAY()</f>
        <v>44149</v>
      </c>
      <c r="Q6" s="340"/>
    </row>
    <row r="7" spans="1:34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34">
      <c r="A8" s="10"/>
      <c r="B8" s="335" t="s">
        <v>38</v>
      </c>
      <c r="C8" s="335"/>
      <c r="D8" s="12"/>
      <c r="E8" s="343"/>
      <c r="F8" s="343"/>
      <c r="G8" s="343"/>
      <c r="H8" s="343"/>
      <c r="I8" s="10"/>
      <c r="J8" s="10"/>
      <c r="K8" s="10"/>
      <c r="L8" s="10"/>
      <c r="M8" s="10"/>
      <c r="N8" s="14" t="s">
        <v>49</v>
      </c>
      <c r="O8" s="346">
        <v>9451248095</v>
      </c>
      <c r="P8" s="346"/>
      <c r="Q8" s="13"/>
    </row>
    <row r="9" spans="1:34">
      <c r="A9" s="10"/>
      <c r="B9" s="12"/>
      <c r="C9" s="12"/>
      <c r="D9" s="12"/>
      <c r="E9" s="344"/>
      <c r="F9" s="344"/>
      <c r="G9" s="344"/>
      <c r="H9" s="344"/>
      <c r="I9" s="10"/>
      <c r="J9" s="10"/>
      <c r="K9" s="10"/>
      <c r="L9" s="10"/>
      <c r="M9" s="10"/>
      <c r="N9" s="12"/>
      <c r="O9" s="12"/>
      <c r="P9" s="13"/>
      <c r="Q9" s="13"/>
      <c r="Z9" s="67"/>
      <c r="AA9" s="68" t="s">
        <v>101</v>
      </c>
      <c r="AB9" s="67"/>
      <c r="AC9" s="67"/>
      <c r="AD9" s="67"/>
      <c r="AE9" s="67"/>
      <c r="AF9" s="67"/>
      <c r="AG9" s="67"/>
      <c r="AH9" s="67"/>
    </row>
    <row r="10" spans="1:34">
      <c r="A10" s="10"/>
      <c r="B10" s="10"/>
      <c r="C10" s="10"/>
      <c r="D10" s="10"/>
      <c r="E10" s="336"/>
      <c r="F10" s="336"/>
      <c r="G10" s="336"/>
      <c r="H10" s="336"/>
      <c r="I10" s="336"/>
      <c r="J10" s="336"/>
      <c r="K10" s="336"/>
      <c r="L10" s="10"/>
      <c r="M10" s="10"/>
      <c r="N10" s="10"/>
      <c r="O10" s="10"/>
      <c r="P10" s="10"/>
      <c r="Q10" s="10"/>
      <c r="Z10" s="68" t="s">
        <v>101</v>
      </c>
      <c r="AA10" s="69" t="e">
        <f>P23</f>
        <v>#REF!</v>
      </c>
      <c r="AB10" s="70"/>
      <c r="AC10" s="67"/>
      <c r="AD10" s="67"/>
      <c r="AE10" s="67"/>
      <c r="AF10" s="67"/>
      <c r="AG10" s="67"/>
      <c r="AH10" s="67"/>
    </row>
    <row r="11" spans="1:3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Z11" s="68"/>
      <c r="AA11" s="70"/>
      <c r="AB11" s="71" t="s">
        <v>102</v>
      </c>
      <c r="AC11" s="72" t="s">
        <v>103</v>
      </c>
      <c r="AD11" s="72" t="s">
        <v>104</v>
      </c>
      <c r="AE11" s="72" t="s">
        <v>105</v>
      </c>
      <c r="AF11" s="72" t="s">
        <v>106</v>
      </c>
      <c r="AG11" s="72" t="s">
        <v>107</v>
      </c>
      <c r="AH11" s="67"/>
    </row>
    <row r="12" spans="1:34">
      <c r="A12" s="10"/>
      <c r="B12" s="335" t="s">
        <v>26</v>
      </c>
      <c r="C12" s="341"/>
      <c r="D12" s="10"/>
      <c r="E12" s="337"/>
      <c r="F12" s="337"/>
      <c r="G12" s="337"/>
      <c r="H12" s="337"/>
      <c r="I12" s="10"/>
      <c r="J12" s="10"/>
      <c r="K12" s="10"/>
      <c r="L12" s="10"/>
      <c r="M12" s="10"/>
      <c r="N12" s="14" t="s">
        <v>49</v>
      </c>
      <c r="O12" s="342"/>
      <c r="P12" s="342"/>
      <c r="Q12" s="10"/>
      <c r="Z12" s="68" t="s">
        <v>108</v>
      </c>
      <c r="AA12" s="67"/>
      <c r="AB12" s="73"/>
      <c r="AC12" s="74" t="e">
        <f>ROUND((AA10-INT(AA10))*100,0)</f>
        <v>#REF!</v>
      </c>
      <c r="AD12" s="74" t="e">
        <f>IF(AA10&gt;=1,VALUE(RIGHT(LEFT(INT(AA10),LEN(INT(AA10))),3)),0)</f>
        <v>#REF!</v>
      </c>
      <c r="AE12" s="74" t="e">
        <f>IF(AA10&gt;=1000,VALUE(TEXT(RIGHT(LEFT(INT(AA10),LEN(INT(AA10))-3),3),"000")),0)</f>
        <v>#REF!</v>
      </c>
      <c r="AF12" s="74" t="e">
        <f>IF(AA10&gt;=1000000,VALUE(TEXT(RIGHT(LEFT(INT(AA10),LEN(INT(AA10))-6),3),"000")),0)</f>
        <v>#REF!</v>
      </c>
      <c r="AG12" s="74" t="e">
        <f>IF(AA10&gt;=1000000000,VALUE(TEXT(RIGHT(LEFT(INT(AA10),LEN(INT(AA10))-9),3),"000")),0)</f>
        <v>#REF!</v>
      </c>
      <c r="AH12" s="67"/>
    </row>
    <row r="13" spans="1:34">
      <c r="A13" s="10"/>
      <c r="B13" s="10"/>
      <c r="C13" s="10"/>
      <c r="D13" s="10"/>
      <c r="E13" s="330"/>
      <c r="F13" s="330"/>
      <c r="G13" s="330"/>
      <c r="H13" s="330"/>
      <c r="I13" s="330"/>
      <c r="J13" s="330"/>
      <c r="K13" s="330"/>
      <c r="L13" s="10"/>
      <c r="M13" s="10"/>
      <c r="N13" s="10"/>
      <c r="O13" s="326"/>
      <c r="P13" s="326"/>
      <c r="Q13" s="10"/>
      <c r="Z13" s="68" t="s">
        <v>109</v>
      </c>
      <c r="AA13" s="75"/>
      <c r="AB13" s="75" t="e">
        <f>ROUND((AA10-INT(AA10))*100,0)&amp;"/"&amp;100 &amp; " groszy"</f>
        <v>#REF!</v>
      </c>
      <c r="AC13" s="75" t="e">
        <f>IF(AA10=0,"",IF(AC12&lt;=20,IF(AC12=0,"zero",INDEX(excelblog_Jednosci,AC12)),INDEX(excelblog_Dziesiatki,INT(AC12/10))&amp;IF(MOD(AC12,10)," " &amp;INDEX(excelblog_Jednosci,MOD(AC12,10)),"")))&amp; " " &amp;IF(AA10=0,"",INDEX(IF(AC12&lt;20,{"groszy";"grosz";"grosze";"groszy"},{"groszy";"grosze";"groszy"}),MATCH(IF(AC12&lt;20,AC12,MOD(AC12,10)),IF(AC12&lt;20,{0;1;2;5},{0;2;5}),1)))</f>
        <v>#REF!</v>
      </c>
      <c r="AD13" s="75" t="e">
        <f>IF(OR(AA10&lt;1,INT(AD12/100)=0),"",INDEX(excelblog_Setki,INT(AD12/100)))&amp; IF(AD12-(INT(AD12/100)*100)&lt;=20,IF(AD12-(INT(AD12/100)*100)=0,IF(OR(AD12&gt;0,AA10&lt;1),"","złotych")," " &amp;INDEX(excelblog_Jednosci,AD12-(INT(AD12/100)*100)))," " &amp;INDEX(excelblog_Dziesiatki,INT((AD12-(INT(AD12/100)*100))/10))&amp;IF(MOD((AD12-(INT(AD12/100)*100)),10)," "&amp;INDEX(excelblog_Jednosci,MOD((AD12-(INT(AD12/100)*100)),10)),""))&amp;IF(AD12=0,""," " &amp;INDEX(IF(AD12&lt;20,{"złotych";"złoty";"złote";"złotych"},{"złotych";"złote";"złotych"}),MATCH(IF(AD12-(INT(AD12/100)*100)&lt;20,AD12-(INT(AD12/100)*100),MOD((AD12-(INT(AD12/100)*100)),10)),IF(AD12&lt;20,{0;1;2;5},{0;2;5}),1)))</f>
        <v>#REF!</v>
      </c>
      <c r="AE13" s="75" t="e">
        <f>IF(OR(AA10&lt;1,INT(AE12/100)=0),"",INDEX(excelblog_Setki,INT(AE12/100)))&amp; IF(AE12-(INT(AE12/100)*100)&lt;=20,IF(AE12-(INT(AE12/100)*100)=0,""," " &amp;INDEX(excelblog_Jednosci,AE12-(INT(AE12/100)*100)))," " &amp;INDEX(excelblog_Dziesiatki,INT((AE12-(INT(AE12/100)*100))/10))&amp;IF(MOD((AE12-(INT(AE12/100)*100)),10)," "&amp;INDEX(excelblog_Jednosci,MOD((AE12-(INT(AE12/100)*100)),10)),""))&amp;IF(AE12=0,""," " &amp;INDEX(IF(AE12&lt;20,{"";"tysiąc";"tysiące";"tysięcy"},{"tysięcy";"tysiące";"tysięcy"}),MATCH(IF(AE12-(INT(AE12/100)*100)&lt;20,AE12-(INT(AE12/100)*100),MOD((AE12-(INT(AE12/100)*100)),10)),IF(AE12&lt;20,{0;1;2;5},{0;2;5}),1)))</f>
        <v>#REF!</v>
      </c>
      <c r="AF13" s="75" t="e">
        <f>IF(OR(AA10&lt;1,INT(AF12/100)=0),"",INDEX(excelblog_Setki,INT(AF12/100)))&amp; IF(AF12-(INT(AF12/100)*100)&lt;=20,IF(AF12-(INT(AF12/100)*100)=0,""," " &amp;INDEX(excelblog_Jednosci,AF12-(INT(AF12/100)*100)))," " &amp;INDEX(excelblog_Dziesiatki,INT((AF12-(INT(AF12/100)*100))/10))&amp;IF(MOD((AF12-(INT(AF12/100)*100)),10)," "&amp;INDEX(excelblog_Jednosci,MOD((AF12-(INT(AF12/100)*100)),10)),""))&amp;IF(AF12=0,""," " &amp;INDEX(IF(AF12&lt;20,{"";"milion";"miliony";"milionów"},{"milionów";"miliony";"milionów"}),MATCH(IF(AF12-(INT(AF12/100)*100)&lt;20,AF12-(INT(AF12/100)*100),MOD((AF12-(INT(AF12/100)*100)),10)),IF(AF12&lt;20,{0;1;2;5},{0;2;5}),1)))</f>
        <v>#REF!</v>
      </c>
      <c r="AG13" s="75" t="e">
        <f>IF(OR(AA10&lt;1,INT(AG12/100)=0),"",INDEX(excelblog_Setki,INT(AG12/100)))&amp; IF(AG12-(INT(AG12/100)*100)&lt;=20,IF(AG12-(INT(AG12/100)*100)=0,""," " &amp;INDEX(excelblog_Jednosci,AG12-(INT(AG12/100)*100)))," " &amp;INDEX(excelblog_Dziesiatki,INT((AG12-(INT(AG12/100)*100))/10))&amp;IF(MOD((AG12-(INT(AG12/100)*100)),10)," "&amp;INDEX(excelblog_Jednosci,MOD((AG12-(INT(AG12/100)*100)),10)),""))&amp;IF(AG12=0,""," " &amp;INDEX(IF(AG12&lt;20,{"";"miliard";"miliardy";"miliardów"},{"miliardów";"miliardy";"miliardów"}),MATCH(IF(AG12-(INT(AG12/100)*100)&lt;20,AG12-(INT(AG12/100)*100),MOD((AG12-(INT(AG12/100)*100)),10)),IF(AG12&lt;20,{0;1;2;5},{0;2;5}),1)))</f>
        <v>#REF!</v>
      </c>
      <c r="AH13" s="75"/>
    </row>
    <row r="14" spans="1:34">
      <c r="A14" s="10"/>
      <c r="B14" s="10"/>
      <c r="C14" s="10"/>
      <c r="D14" s="10"/>
      <c r="E14" s="338"/>
      <c r="F14" s="338"/>
      <c r="G14" s="338"/>
      <c r="H14" s="338"/>
      <c r="I14" s="338"/>
      <c r="J14" s="338"/>
      <c r="K14" s="338"/>
      <c r="L14" s="10"/>
      <c r="M14" s="10"/>
      <c r="N14" s="10"/>
      <c r="O14" s="10"/>
      <c r="P14" s="10"/>
      <c r="Q14" s="10"/>
      <c r="Z14" s="67"/>
      <c r="AA14" s="67"/>
      <c r="AB14" s="67"/>
      <c r="AC14" s="67"/>
      <c r="AD14" s="67"/>
      <c r="AE14" s="67"/>
      <c r="AF14" s="67"/>
      <c r="AG14" s="67"/>
      <c r="AH14" s="67"/>
    </row>
    <row r="15" spans="1:34" ht="12.15" customHeight="1">
      <c r="A15" s="10"/>
      <c r="B15" s="10"/>
      <c r="C15" s="10"/>
      <c r="D15" s="10"/>
      <c r="E15" s="334"/>
      <c r="F15" s="334"/>
      <c r="G15" s="334"/>
      <c r="H15" s="334"/>
      <c r="I15" s="334"/>
      <c r="J15" s="334"/>
      <c r="K15" s="334"/>
      <c r="L15" s="10"/>
      <c r="M15" s="10"/>
      <c r="N15" s="10"/>
      <c r="O15" s="10"/>
      <c r="P15" s="10"/>
      <c r="Q15" s="10"/>
      <c r="Z15" s="68" t="s">
        <v>110</v>
      </c>
      <c r="AA15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","")&amp;IF(TRIM(AC13)&lt;&gt;"",AC13&amp;" ","")))</f>
        <v>W polu z kwotą nie znajduje się liczba</v>
      </c>
      <c r="AB15" s="77"/>
      <c r="AC15" s="77"/>
      <c r="AD15" s="77"/>
      <c r="AE15" s="77"/>
      <c r="AF15" s="77"/>
      <c r="AG15" s="77"/>
      <c r="AH15" s="78"/>
    </row>
    <row r="16" spans="1:34">
      <c r="A16" s="10"/>
      <c r="B16" s="335" t="s">
        <v>50</v>
      </c>
      <c r="C16" s="335"/>
      <c r="D16" s="335"/>
      <c r="E16" s="332"/>
      <c r="F16" s="332"/>
      <c r="G16" s="332"/>
      <c r="H16" s="332"/>
      <c r="I16" s="10"/>
      <c r="J16" s="10"/>
      <c r="K16" s="10"/>
      <c r="L16" s="10"/>
      <c r="M16" s="10"/>
      <c r="N16" s="10"/>
      <c r="O16" s="10"/>
      <c r="P16" s="10"/>
      <c r="Q16" s="10"/>
      <c r="Z16" s="68" t="s">
        <v>111</v>
      </c>
      <c r="AA16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","")&amp;IF(TRIM(AD13)&lt;&gt;"",TRIM(AD13)&amp;", ","")&amp;IF(TRIM(AC13)&lt;&gt;"",AC13&amp;" ","")))</f>
        <v>W polu z kwotą nie znajduje się liczba</v>
      </c>
      <c r="AB16" s="77"/>
      <c r="AC16" s="77"/>
      <c r="AD16" s="77"/>
      <c r="AE16" s="77"/>
      <c r="AF16" s="77"/>
      <c r="AG16" s="77"/>
      <c r="AH16" s="78"/>
    </row>
    <row r="17" spans="1:34" ht="12.75" customHeight="1">
      <c r="A17" s="10"/>
      <c r="B17" s="10"/>
      <c r="C17" s="10"/>
      <c r="D17" s="10"/>
      <c r="E17" s="326"/>
      <c r="F17" s="326"/>
      <c r="G17" s="326"/>
      <c r="H17" s="326"/>
      <c r="I17" s="10"/>
      <c r="J17" s="10"/>
      <c r="K17" s="10"/>
      <c r="L17" s="10"/>
      <c r="M17" s="10"/>
      <c r="N17" s="10"/>
      <c r="O17" s="10"/>
      <c r="P17" s="10"/>
      <c r="Q17" s="10"/>
      <c r="Z17" s="68" t="s">
        <v>112</v>
      </c>
      <c r="AA17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","")&amp;IF(TRIM(AC13)&lt;&gt;"",AB13&amp;" ","")))</f>
        <v>W polu z kwotą nie znajduje się liczba</v>
      </c>
      <c r="AB17" s="77"/>
      <c r="AC17" s="77"/>
      <c r="AD17" s="77"/>
      <c r="AE17" s="77"/>
      <c r="AF17" s="77"/>
      <c r="AG17" s="77"/>
      <c r="AH17" s="78"/>
    </row>
    <row r="18" spans="1:34">
      <c r="A18" s="10"/>
      <c r="B18" s="10"/>
      <c r="C18" s="333">
        <f>(koszty!B1)</f>
        <v>0</v>
      </c>
      <c r="D18" s="333"/>
      <c r="E18" s="333"/>
      <c r="F18" s="350"/>
      <c r="G18" s="350"/>
      <c r="H18" s="350"/>
      <c r="I18" s="10"/>
      <c r="J18" s="10"/>
      <c r="K18" s="10"/>
      <c r="L18" s="10"/>
      <c r="M18" s="10"/>
      <c r="N18" s="10"/>
      <c r="O18" s="10"/>
      <c r="P18" s="10"/>
      <c r="Q18" s="10"/>
      <c r="Z18" s="68"/>
      <c r="AA18" s="67"/>
      <c r="AB18" s="67"/>
      <c r="AC18" s="67"/>
      <c r="AD18" s="67"/>
      <c r="AE18" s="67"/>
      <c r="AF18" s="67"/>
      <c r="AG18" s="67"/>
      <c r="AH18" s="67"/>
    </row>
    <row r="19" spans="1:34" ht="12.75" customHeight="1">
      <c r="A19" s="177"/>
      <c r="B19" s="361" t="s">
        <v>24</v>
      </c>
      <c r="C19" s="351" t="s">
        <v>27</v>
      </c>
      <c r="D19" s="351"/>
      <c r="E19" s="351"/>
      <c r="F19" s="351" t="s">
        <v>33</v>
      </c>
      <c r="G19" s="351" t="s">
        <v>28</v>
      </c>
      <c r="H19" s="351" t="s">
        <v>42</v>
      </c>
      <c r="I19" s="351"/>
      <c r="J19" s="351"/>
      <c r="K19" s="351" t="s">
        <v>34</v>
      </c>
      <c r="L19" s="362" t="s">
        <v>29</v>
      </c>
      <c r="M19" s="357" t="s">
        <v>35</v>
      </c>
      <c r="N19" s="358"/>
      <c r="O19" s="351" t="s">
        <v>36</v>
      </c>
      <c r="P19" s="351"/>
      <c r="Q19" s="15"/>
    </row>
    <row r="20" spans="1:34" ht="12.75" customHeight="1">
      <c r="A20" s="136"/>
      <c r="B20" s="352"/>
      <c r="C20" s="352"/>
      <c r="D20" s="352"/>
      <c r="E20" s="352"/>
      <c r="F20" s="352"/>
      <c r="G20" s="352"/>
      <c r="H20" s="352"/>
      <c r="I20" s="352"/>
      <c r="J20" s="352"/>
      <c r="K20" s="352"/>
      <c r="L20" s="363"/>
      <c r="M20" s="359"/>
      <c r="N20" s="359"/>
      <c r="O20" s="352"/>
      <c r="P20" s="352"/>
      <c r="Q20" s="10"/>
    </row>
    <row r="21" spans="1:34">
      <c r="A21" s="186"/>
      <c r="B21" s="289" t="e">
        <f>koszty!#REF!</f>
        <v>#REF!</v>
      </c>
      <c r="C21" s="289" t="e">
        <f>koszty!#REF!</f>
        <v>#REF!</v>
      </c>
      <c r="D21" s="365" t="e">
        <f>koszty!#REF!</f>
        <v>#REF!</v>
      </c>
      <c r="E21" s="365"/>
      <c r="F21" s="289" t="e">
        <f>koszty!#REF!*koszty!#REF!</f>
        <v>#REF!</v>
      </c>
      <c r="G21" s="289" t="e">
        <f>koszty!#REF!</f>
        <v>#REF!</v>
      </c>
      <c r="H21" s="366" t="e">
        <f>koszty!#REF!</f>
        <v>#REF!</v>
      </c>
      <c r="I21" s="366"/>
      <c r="J21" s="366"/>
      <c r="K21" s="290" t="e">
        <f>H21*F21</f>
        <v>#REF!</v>
      </c>
      <c r="L21" s="289">
        <v>23</v>
      </c>
      <c r="M21" s="366" t="e">
        <f>L21*K21/100</f>
        <v>#REF!</v>
      </c>
      <c r="N21" s="366"/>
      <c r="O21" s="366" t="e">
        <f>K21+M21</f>
        <v>#REF!</v>
      </c>
      <c r="P21" s="366"/>
      <c r="Q21" s="10"/>
    </row>
    <row r="22" spans="1:34">
      <c r="A22" s="186"/>
      <c r="B22" s="184"/>
      <c r="C22" s="184"/>
      <c r="D22" s="184"/>
      <c r="E22" s="184"/>
      <c r="F22" s="184"/>
      <c r="G22" s="184"/>
      <c r="H22" s="185"/>
      <c r="I22" s="185"/>
      <c r="J22" s="185"/>
      <c r="K22" s="367" t="s">
        <v>59</v>
      </c>
      <c r="L22" s="368"/>
      <c r="M22" s="368"/>
      <c r="N22" s="368"/>
      <c r="O22" s="368"/>
      <c r="P22" s="369"/>
      <c r="Q22" s="10"/>
    </row>
    <row r="23" spans="1:34">
      <c r="A23" s="186"/>
      <c r="B23" s="184"/>
      <c r="C23" s="184"/>
      <c r="D23" s="184"/>
      <c r="E23" s="184"/>
      <c r="F23" s="184"/>
      <c r="G23" s="184"/>
      <c r="H23" s="185"/>
      <c r="I23" s="185"/>
      <c r="J23" s="185"/>
      <c r="K23" s="262" t="e">
        <f>SUM(K21:K21)</f>
        <v>#REF!</v>
      </c>
      <c r="L23" s="263"/>
      <c r="M23" s="263"/>
      <c r="N23" s="263" t="e">
        <f>SUM(M21:N21)</f>
        <v>#REF!</v>
      </c>
      <c r="O23" s="263"/>
      <c r="P23" s="264" t="e">
        <f>SUM(O21:P21)</f>
        <v>#REF!</v>
      </c>
      <c r="Q23" s="10"/>
    </row>
    <row r="24" spans="1:34">
      <c r="A24" s="186"/>
      <c r="B24" s="184"/>
      <c r="C24" s="184"/>
      <c r="D24" s="184"/>
      <c r="E24" s="184"/>
      <c r="F24" s="184"/>
      <c r="G24" s="184"/>
      <c r="H24" s="185"/>
      <c r="I24" s="185"/>
      <c r="J24" s="185"/>
      <c r="K24" s="185"/>
      <c r="L24" s="184"/>
      <c r="M24" s="185"/>
      <c r="N24" s="185"/>
      <c r="O24" s="185"/>
      <c r="P24" s="185"/>
      <c r="Q24" s="10"/>
    </row>
    <row r="25" spans="1:34">
      <c r="A25" s="186"/>
      <c r="B25" s="184"/>
      <c r="C25" s="184"/>
      <c r="D25" s="184"/>
      <c r="E25" s="184"/>
      <c r="F25" s="184"/>
      <c r="G25" s="184"/>
      <c r="H25" s="185"/>
      <c r="I25" s="185"/>
      <c r="J25" s="185"/>
      <c r="K25" s="185"/>
      <c r="L25" s="184"/>
      <c r="M25" s="185"/>
      <c r="N25" s="185"/>
      <c r="O25" s="185"/>
      <c r="P25" s="185"/>
      <c r="Q25" s="10"/>
    </row>
    <row r="26" spans="1:34">
      <c r="A26" s="186"/>
      <c r="B26" s="184"/>
      <c r="C26" s="184"/>
      <c r="D26" s="184"/>
      <c r="E26" s="184"/>
      <c r="F26" s="184"/>
      <c r="G26" s="184"/>
      <c r="H26" s="185"/>
      <c r="I26" s="185"/>
      <c r="J26" s="185"/>
      <c r="K26" s="185"/>
      <c r="L26" s="184"/>
      <c r="M26" s="185"/>
      <c r="N26" s="185"/>
      <c r="O26" s="185"/>
      <c r="P26" s="185"/>
      <c r="Q26" s="10"/>
    </row>
    <row r="27" spans="1:34">
      <c r="A27" s="186"/>
      <c r="B27" s="184"/>
      <c r="C27" s="184"/>
      <c r="D27" s="184"/>
      <c r="E27" s="184"/>
      <c r="F27" s="184"/>
      <c r="G27" s="184"/>
      <c r="H27" s="185"/>
      <c r="I27" s="185"/>
      <c r="J27" s="185"/>
      <c r="K27" s="185"/>
      <c r="L27" s="184"/>
      <c r="M27" s="185"/>
      <c r="N27" s="185"/>
      <c r="O27" s="185"/>
      <c r="P27" s="185"/>
      <c r="Q27" s="10"/>
    </row>
    <row r="28" spans="1:34">
      <c r="A28" s="186"/>
      <c r="B28" s="184"/>
      <c r="C28" s="184"/>
      <c r="D28" s="184"/>
      <c r="E28" s="184"/>
      <c r="F28" s="184"/>
      <c r="G28" s="184"/>
      <c r="H28" s="185"/>
      <c r="I28" s="185"/>
      <c r="J28" s="185"/>
      <c r="K28" s="185"/>
      <c r="L28" s="184"/>
      <c r="M28" s="185"/>
      <c r="N28" s="185"/>
      <c r="O28" s="185"/>
      <c r="P28" s="185"/>
      <c r="Q28" s="10"/>
    </row>
    <row r="29" spans="1:34">
      <c r="A29" s="186"/>
      <c r="B29" s="184"/>
      <c r="C29" s="184"/>
      <c r="D29" s="184"/>
      <c r="E29" s="184"/>
      <c r="F29" s="184"/>
      <c r="G29" s="184"/>
      <c r="H29" s="185"/>
      <c r="I29" s="185"/>
      <c r="J29" s="185"/>
      <c r="K29" s="185"/>
      <c r="L29" s="184"/>
      <c r="M29" s="185"/>
      <c r="N29" s="185"/>
      <c r="O29" s="185"/>
      <c r="P29" s="185"/>
      <c r="Q29" s="10"/>
    </row>
    <row r="30" spans="1:34">
      <c r="A30" s="186"/>
      <c r="B30" s="184"/>
      <c r="C30" s="184"/>
      <c r="D30" s="184"/>
      <c r="E30" s="184"/>
      <c r="F30" s="184"/>
      <c r="G30" s="184"/>
      <c r="H30" s="185"/>
      <c r="I30" s="185"/>
      <c r="J30" s="185"/>
      <c r="K30" s="185"/>
      <c r="L30" s="184"/>
      <c r="M30" s="185"/>
      <c r="N30" s="185"/>
      <c r="O30" s="185"/>
      <c r="P30" s="185"/>
      <c r="Q30" s="10"/>
    </row>
    <row r="31" spans="1:34">
      <c r="A31" s="186"/>
      <c r="B31" s="184"/>
      <c r="C31" s="184"/>
      <c r="D31" s="184"/>
      <c r="E31" s="184"/>
      <c r="F31" s="184"/>
      <c r="G31" s="184"/>
      <c r="H31" s="185"/>
      <c r="I31" s="185"/>
      <c r="J31" s="185"/>
      <c r="K31" s="185"/>
      <c r="L31" s="184"/>
      <c r="M31" s="185"/>
      <c r="N31" s="185"/>
      <c r="O31" s="185"/>
      <c r="P31" s="185"/>
      <c r="Q31" s="10"/>
    </row>
    <row r="32" spans="1:34">
      <c r="A32" s="186"/>
      <c r="B32" s="184"/>
      <c r="C32" s="184"/>
      <c r="D32" s="184"/>
      <c r="E32" s="184"/>
      <c r="F32" s="184"/>
      <c r="G32" s="184"/>
      <c r="H32" s="185"/>
      <c r="I32" s="185"/>
      <c r="J32" s="185"/>
      <c r="K32" s="185"/>
      <c r="L32" s="184"/>
      <c r="M32" s="185"/>
      <c r="N32" s="185"/>
      <c r="O32" s="185"/>
      <c r="P32" s="185"/>
      <c r="Q32" s="10"/>
    </row>
    <row r="33" spans="1:17">
      <c r="A33" s="186"/>
      <c r="B33" s="184"/>
      <c r="C33" s="184"/>
      <c r="D33" s="184"/>
      <c r="E33" s="184"/>
      <c r="F33" s="184"/>
      <c r="G33" s="184"/>
      <c r="H33" s="185"/>
      <c r="I33" s="185"/>
      <c r="J33" s="185"/>
      <c r="K33" s="185"/>
      <c r="L33" s="184"/>
      <c r="M33" s="185"/>
      <c r="N33" s="185"/>
      <c r="O33" s="185"/>
      <c r="P33" s="185"/>
      <c r="Q33" s="10"/>
    </row>
    <row r="34" spans="1:17">
      <c r="A34" s="186"/>
      <c r="B34" s="184"/>
      <c r="C34" s="184"/>
      <c r="D34" s="184"/>
      <c r="E34" s="184"/>
      <c r="F34" s="184"/>
      <c r="G34" s="184"/>
      <c r="H34" s="185"/>
      <c r="I34" s="185"/>
      <c r="J34" s="185"/>
      <c r="K34" s="185"/>
      <c r="L34" s="184"/>
      <c r="M34" s="185"/>
      <c r="N34" s="185"/>
      <c r="O34" s="185"/>
      <c r="P34" s="185"/>
      <c r="Q34" s="10"/>
    </row>
    <row r="35" spans="1:17">
      <c r="A35" s="186"/>
      <c r="B35" s="184"/>
      <c r="C35" s="184"/>
      <c r="D35" s="184"/>
      <c r="E35" s="184"/>
      <c r="F35" s="184"/>
      <c r="G35" s="184"/>
      <c r="H35" s="185"/>
      <c r="I35" s="185"/>
      <c r="J35" s="185"/>
      <c r="K35" s="185"/>
      <c r="L35" s="184"/>
      <c r="M35" s="185"/>
      <c r="N35" s="185"/>
      <c r="O35" s="185"/>
      <c r="P35" s="185"/>
      <c r="Q35" s="10"/>
    </row>
    <row r="36" spans="1:17">
      <c r="A36" s="186"/>
      <c r="B36" s="184"/>
      <c r="C36" s="184"/>
      <c r="D36" s="184"/>
      <c r="E36" s="184"/>
      <c r="F36" s="184"/>
      <c r="G36" s="184"/>
      <c r="H36" s="185"/>
      <c r="I36" s="185"/>
      <c r="J36" s="185"/>
      <c r="K36" s="185"/>
      <c r="L36" s="184"/>
      <c r="M36" s="185"/>
      <c r="N36" s="185"/>
      <c r="O36" s="185"/>
      <c r="P36" s="185"/>
      <c r="Q36" s="10"/>
    </row>
    <row r="37" spans="1:17">
      <c r="A37" s="10"/>
      <c r="B37" s="184"/>
      <c r="C37" s="184"/>
      <c r="D37" s="184"/>
      <c r="E37" s="184"/>
      <c r="F37" s="184"/>
      <c r="G37" s="184"/>
      <c r="H37" s="185"/>
      <c r="I37" s="185"/>
      <c r="J37" s="185"/>
      <c r="K37" s="185"/>
      <c r="L37" s="184"/>
      <c r="M37" s="185"/>
      <c r="N37" s="185"/>
      <c r="O37" s="185"/>
      <c r="P37" s="185"/>
      <c r="Q37" s="10"/>
    </row>
    <row r="38" spans="1:17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94"/>
      <c r="L38" s="194"/>
      <c r="M38" s="194"/>
      <c r="N38" s="194"/>
      <c r="O38" s="194"/>
      <c r="P38" s="194"/>
      <c r="Q38" s="10"/>
    </row>
    <row r="39" spans="1:17">
      <c r="A39" s="10"/>
      <c r="B39" s="10"/>
      <c r="D39" s="195"/>
      <c r="E39" s="195"/>
      <c r="F39" s="195"/>
      <c r="G39" s="195"/>
      <c r="H39" s="195"/>
      <c r="I39" s="195"/>
      <c r="J39" s="195"/>
      <c r="K39" s="203"/>
      <c r="L39" s="203"/>
      <c r="M39" s="203"/>
      <c r="N39" s="203"/>
      <c r="O39" s="203"/>
      <c r="P39" s="203"/>
      <c r="Q39" s="186"/>
    </row>
    <row r="40" spans="1:17">
      <c r="A40" s="10"/>
      <c r="B40" s="10"/>
      <c r="C40" s="335" t="s">
        <v>39</v>
      </c>
      <c r="D40" s="335"/>
      <c r="E40" s="335"/>
      <c r="F40" s="354" t="str">
        <f>(AA17)</f>
        <v>W polu z kwotą nie znajduje się liczba</v>
      </c>
      <c r="G40" s="354"/>
      <c r="H40" s="354"/>
      <c r="I40" s="354"/>
      <c r="J40" s="354"/>
      <c r="K40" s="355"/>
      <c r="L40" s="356"/>
      <c r="M40" s="356"/>
      <c r="N40" s="356"/>
      <c r="O40" s="356"/>
      <c r="P40" s="356"/>
      <c r="Q40" s="186"/>
    </row>
    <row r="41" spans="1:17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>
      <c r="A42" s="10"/>
      <c r="B42" s="335" t="s">
        <v>30</v>
      </c>
      <c r="C42" s="335"/>
      <c r="D42" s="335"/>
      <c r="E42" s="335"/>
      <c r="F42" s="353" t="s">
        <v>66</v>
      </c>
      <c r="G42" s="353"/>
      <c r="H42" s="353"/>
      <c r="I42" s="10"/>
      <c r="J42" s="10"/>
      <c r="K42" s="10"/>
      <c r="L42" s="10"/>
      <c r="M42" s="10"/>
      <c r="N42" s="10"/>
      <c r="O42" s="10"/>
      <c r="P42" s="10"/>
      <c r="Q42" s="10"/>
    </row>
    <row r="43" spans="1:17">
      <c r="A43" s="10"/>
      <c r="B43" s="10"/>
      <c r="C43" s="335" t="s">
        <v>31</v>
      </c>
      <c r="D43" s="335"/>
      <c r="E43" s="335"/>
      <c r="F43" s="353" t="s">
        <v>67</v>
      </c>
      <c r="G43" s="353"/>
      <c r="H43" s="353"/>
      <c r="I43" s="10"/>
      <c r="J43" s="10"/>
      <c r="K43" s="10"/>
      <c r="L43" s="10"/>
      <c r="M43" s="10"/>
      <c r="N43" s="10"/>
      <c r="O43" s="10"/>
      <c r="P43" s="10"/>
      <c r="Q43" s="10"/>
    </row>
    <row r="44" spans="1:17">
      <c r="A44" s="10"/>
      <c r="B44" s="10"/>
      <c r="C44" s="10"/>
      <c r="D44" s="10"/>
      <c r="E44" s="10"/>
      <c r="F44" s="326"/>
      <c r="G44" s="326"/>
      <c r="H44" s="326"/>
      <c r="I44" s="10"/>
      <c r="J44" s="10"/>
      <c r="K44" s="10"/>
      <c r="L44" s="10"/>
      <c r="M44" s="10"/>
      <c r="N44" s="10"/>
      <c r="O44" s="10"/>
      <c r="P44" s="10"/>
      <c r="Q44" s="10"/>
    </row>
    <row r="45" spans="1:17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>
      <c r="A46" s="10"/>
      <c r="B46" s="10"/>
      <c r="C46" s="16"/>
      <c r="D46" s="364" t="s">
        <v>58</v>
      </c>
      <c r="E46" s="364"/>
      <c r="F46" s="364"/>
      <c r="G46" s="364"/>
      <c r="H46" s="16"/>
      <c r="I46" s="10"/>
      <c r="J46" s="10"/>
      <c r="K46" s="10"/>
      <c r="L46" s="10"/>
      <c r="M46" s="10"/>
      <c r="N46" s="10"/>
      <c r="O46" s="10"/>
      <c r="P46" s="10"/>
      <c r="Q46" s="10"/>
    </row>
    <row r="47" spans="1:17">
      <c r="A47" s="10"/>
      <c r="B47" s="10"/>
      <c r="C47" s="360" t="s">
        <v>41</v>
      </c>
      <c r="D47" s="360"/>
      <c r="E47" s="360"/>
      <c r="F47" s="360"/>
      <c r="G47" s="360"/>
      <c r="H47" s="360"/>
      <c r="I47" s="10"/>
      <c r="J47" s="10"/>
      <c r="K47" s="10"/>
      <c r="L47" s="10"/>
      <c r="M47" s="10"/>
      <c r="N47" s="10"/>
      <c r="O47" s="10"/>
      <c r="P47" s="10"/>
      <c r="Q47" s="10"/>
    </row>
    <row r="48" spans="1:17">
      <c r="A48" s="10"/>
      <c r="B48" s="10"/>
      <c r="C48" s="17"/>
      <c r="D48" s="17"/>
      <c r="E48" s="17"/>
      <c r="F48" s="17"/>
      <c r="G48" s="17"/>
      <c r="H48" s="17"/>
      <c r="I48" s="10"/>
      <c r="J48" s="10"/>
      <c r="K48" s="10"/>
      <c r="L48" s="10"/>
      <c r="M48" s="10"/>
      <c r="N48" s="10"/>
      <c r="O48" s="10"/>
      <c r="P48" s="10"/>
      <c r="Q48" s="10"/>
    </row>
    <row r="49" spans="1:17">
      <c r="A49" s="10"/>
      <c r="B49" s="10"/>
      <c r="C49" s="17"/>
      <c r="D49" s="17"/>
      <c r="E49" s="17"/>
      <c r="F49" s="17"/>
      <c r="G49" s="17"/>
      <c r="H49" s="17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19" customFormat="1" ht="9.6">
      <c r="A50" s="349" t="s">
        <v>40</v>
      </c>
      <c r="B50" s="349"/>
      <c r="C50" s="349"/>
      <c r="D50" s="349"/>
      <c r="E50" s="349"/>
      <c r="F50" s="349"/>
      <c r="G50" s="349"/>
      <c r="H50" s="349"/>
      <c r="I50" s="349"/>
      <c r="J50" s="349"/>
      <c r="K50" s="349"/>
      <c r="L50" s="349"/>
      <c r="M50" s="349"/>
      <c r="N50" s="349"/>
      <c r="O50" s="349"/>
      <c r="P50" s="349"/>
      <c r="Q50" s="349"/>
    </row>
    <row r="51" spans="1:17" s="19" customFormat="1" ht="11.25" customHeight="1">
      <c r="A51" s="20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  <c r="P51" s="348"/>
      <c r="Q51" s="20"/>
    </row>
    <row r="52" spans="1:17" s="19" customFormat="1" ht="11.25" customHeight="1">
      <c r="A52" s="20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  <c r="P52" s="348"/>
      <c r="Q52" s="348"/>
    </row>
  </sheetData>
  <mergeCells count="50">
    <mergeCell ref="C47:H47"/>
    <mergeCell ref="O19:P20"/>
    <mergeCell ref="B42:E42"/>
    <mergeCell ref="B19:B20"/>
    <mergeCell ref="L19:L20"/>
    <mergeCell ref="D46:G46"/>
    <mergeCell ref="D21:E21"/>
    <mergeCell ref="H21:J21"/>
    <mergeCell ref="M21:N21"/>
    <mergeCell ref="O21:P21"/>
    <mergeCell ref="K22:P22"/>
    <mergeCell ref="B52:Q52"/>
    <mergeCell ref="A50:Q50"/>
    <mergeCell ref="F18:H18"/>
    <mergeCell ref="C40:E40"/>
    <mergeCell ref="C43:E43"/>
    <mergeCell ref="H19:J20"/>
    <mergeCell ref="F42:H42"/>
    <mergeCell ref="G19:G20"/>
    <mergeCell ref="F19:F20"/>
    <mergeCell ref="F44:H44"/>
    <mergeCell ref="F40:P40"/>
    <mergeCell ref="M19:N20"/>
    <mergeCell ref="K19:K20"/>
    <mergeCell ref="C19:E20"/>
    <mergeCell ref="B51:P51"/>
    <mergeCell ref="F43:H43"/>
    <mergeCell ref="P6:Q6"/>
    <mergeCell ref="A1:Q4"/>
    <mergeCell ref="B12:C12"/>
    <mergeCell ref="O12:P12"/>
    <mergeCell ref="E8:H8"/>
    <mergeCell ref="E9:H9"/>
    <mergeCell ref="B8:C8"/>
    <mergeCell ref="N6:O6"/>
    <mergeCell ref="O8:P8"/>
    <mergeCell ref="M5:O5"/>
    <mergeCell ref="B6:D6"/>
    <mergeCell ref="G5:H5"/>
    <mergeCell ref="B5:D5"/>
    <mergeCell ref="O13:P13"/>
    <mergeCell ref="E13:K13"/>
    <mergeCell ref="E10:K10"/>
    <mergeCell ref="E12:H12"/>
    <mergeCell ref="E14:K14"/>
    <mergeCell ref="E16:H16"/>
    <mergeCell ref="C18:E18"/>
    <mergeCell ref="E15:K15"/>
    <mergeCell ref="E17:H17"/>
    <mergeCell ref="B16:D16"/>
  </mergeCells>
  <phoneticPr fontId="11" type="noConversion"/>
  <pageMargins left="0.23" right="0.13" top="0.18" bottom="0.25" header="7.0000000000000007E-2" footer="0.12"/>
  <pageSetup paperSize="9" scale="9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4" r:id="rId4" name="Button 1906">
              <controlPr defaultSize="0" print="0" autoFill="0" autoPict="0" macro="[0]!dodajWierszPotwierdzenie">
                <anchor moveWithCells="1" sizeWithCells="1">
                  <from>
                    <xdr:col>17</xdr:col>
                    <xdr:colOff>617220</xdr:colOff>
                    <xdr:row>6</xdr:row>
                    <xdr:rowOff>160020</xdr:rowOff>
                  </from>
                  <to>
                    <xdr:col>20</xdr:col>
                    <xdr:colOff>617220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>
    <tabColor rgb="FFFFFF00"/>
  </sheetPr>
  <dimension ref="A1:AC57"/>
  <sheetViews>
    <sheetView showZeros="0" zoomScaleNormal="100" workbookViewId="0">
      <selection activeCell="W21" sqref="W21"/>
    </sheetView>
  </sheetViews>
  <sheetFormatPr defaultRowHeight="13.2"/>
  <cols>
    <col min="1" max="1" width="1.6640625" customWidth="1"/>
    <col min="2" max="2" width="3.6640625" customWidth="1"/>
    <col min="3" max="3" width="11" customWidth="1"/>
    <col min="4" max="4" width="8.6640625" customWidth="1"/>
    <col min="5" max="5" width="4.6640625" bestFit="1" customWidth="1"/>
    <col min="6" max="6" width="5.88671875" customWidth="1"/>
    <col min="7" max="7" width="9.6640625" customWidth="1"/>
    <col min="8" max="8" width="7.5546875" bestFit="1" customWidth="1"/>
    <col min="9" max="9" width="6.88671875" customWidth="1"/>
    <col min="10" max="10" width="6" customWidth="1"/>
    <col min="11" max="11" width="6.6640625" customWidth="1"/>
    <col min="12" max="12" width="6.109375" customWidth="1"/>
    <col min="13" max="13" width="8.109375" customWidth="1"/>
    <col min="14" max="14" width="4" bestFit="1" customWidth="1"/>
    <col min="15" max="15" width="3.88671875" customWidth="1"/>
    <col min="16" max="17" width="3.6640625" customWidth="1"/>
    <col min="18" max="18" width="10.5546875" bestFit="1" customWidth="1"/>
    <col min="21" max="21" width="1.6640625" customWidth="1"/>
    <col min="22" max="22" width="12.33203125" bestFit="1" customWidth="1"/>
    <col min="24" max="24" width="7" hidden="1" customWidth="1"/>
    <col min="26" max="26" width="8.6640625" customWidth="1"/>
    <col min="28" max="28" width="9.6640625" hidden="1" customWidth="1"/>
    <col min="29" max="29" width="0" hidden="1" customWidth="1"/>
    <col min="30" max="30" width="10.109375" bestFit="1" customWidth="1"/>
  </cols>
  <sheetData>
    <row r="1" spans="1:29">
      <c r="A1" s="195"/>
      <c r="B1" s="195"/>
      <c r="C1" s="195"/>
      <c r="D1" s="195"/>
      <c r="E1" s="195"/>
      <c r="F1" s="195"/>
      <c r="G1" s="195"/>
      <c r="H1" s="195"/>
      <c r="I1" s="220"/>
      <c r="J1" s="220"/>
      <c r="K1" s="220"/>
      <c r="L1" s="220"/>
      <c r="M1" s="195"/>
      <c r="N1" s="195"/>
      <c r="O1" s="220"/>
      <c r="P1" s="195"/>
      <c r="Q1" s="220"/>
      <c r="R1" s="195"/>
      <c r="S1" s="195"/>
      <c r="T1" s="222"/>
      <c r="U1" s="195"/>
    </row>
    <row r="2" spans="1:29">
      <c r="A2" s="195"/>
      <c r="B2" s="195"/>
      <c r="C2" s="195"/>
      <c r="D2" s="195"/>
      <c r="E2" s="195"/>
      <c r="F2" s="195"/>
      <c r="G2" s="225" t="s">
        <v>94</v>
      </c>
      <c r="H2" s="225"/>
      <c r="I2" s="225"/>
      <c r="J2" s="225"/>
      <c r="K2" s="225"/>
      <c r="L2" s="225"/>
      <c r="M2" s="56"/>
      <c r="N2" s="45"/>
      <c r="O2" s="45"/>
      <c r="P2" s="35" t="s">
        <v>48</v>
      </c>
      <c r="Q2" s="35"/>
      <c r="R2" s="49">
        <f ca="1">TODAY()</f>
        <v>44149</v>
      </c>
      <c r="S2" s="209"/>
      <c r="T2" s="209"/>
      <c r="U2" s="195"/>
      <c r="Z2" s="302" t="s">
        <v>146</v>
      </c>
      <c r="AA2" s="302"/>
      <c r="AB2" s="310" t="s">
        <v>168</v>
      </c>
      <c r="AC2" s="310"/>
    </row>
    <row r="3" spans="1:29">
      <c r="A3" s="195"/>
      <c r="B3" s="195"/>
      <c r="C3" s="195"/>
      <c r="D3" s="195"/>
      <c r="E3" s="195"/>
      <c r="F3" s="195"/>
      <c r="G3" s="56"/>
      <c r="H3" s="40" t="str">
        <f>(koszty!C7)</f>
        <v>20/</v>
      </c>
      <c r="I3" s="40" t="str">
        <f>(koszty!D7)</f>
        <v>09-</v>
      </c>
      <c r="J3" s="208">
        <f>(koszty!E7)</f>
        <v>0</v>
      </c>
      <c r="K3" s="40"/>
      <c r="L3" s="40"/>
      <c r="M3" s="209"/>
      <c r="N3" s="209"/>
      <c r="O3" s="208"/>
      <c r="P3" s="57">
        <f>(koszty!G69)</f>
        <v>0</v>
      </c>
      <c r="Q3" s="57"/>
      <c r="R3" s="55"/>
      <c r="S3" s="209"/>
      <c r="T3" s="209"/>
      <c r="U3" s="195"/>
      <c r="Z3" s="161" t="s">
        <v>167</v>
      </c>
      <c r="AA3" s="129">
        <v>2.5</v>
      </c>
      <c r="AB3" s="168" t="s">
        <v>169</v>
      </c>
      <c r="AC3" s="168">
        <v>7</v>
      </c>
    </row>
    <row r="4" spans="1:29">
      <c r="A4" s="195"/>
      <c r="B4" s="195"/>
      <c r="C4" s="195"/>
      <c r="D4" s="195"/>
      <c r="E4" s="195"/>
      <c r="F4" s="195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2"/>
      <c r="U4" s="195"/>
      <c r="Z4" s="164" t="s">
        <v>159</v>
      </c>
      <c r="AA4" s="173">
        <v>2.7</v>
      </c>
      <c r="AB4" s="169" t="s">
        <v>172</v>
      </c>
      <c r="AC4" s="175">
        <v>13</v>
      </c>
    </row>
    <row r="5" spans="1:29">
      <c r="A5" s="195"/>
      <c r="B5" s="195"/>
      <c r="C5" s="195"/>
      <c r="D5" s="195"/>
      <c r="E5" s="195"/>
      <c r="F5" s="195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2"/>
      <c r="U5" s="195"/>
      <c r="Z5" s="164" t="s">
        <v>163</v>
      </c>
      <c r="AA5" s="173">
        <v>3.4</v>
      </c>
      <c r="AB5" s="169" t="s">
        <v>173</v>
      </c>
      <c r="AC5" s="175">
        <v>13</v>
      </c>
    </row>
    <row r="6" spans="1:29">
      <c r="A6" s="195"/>
      <c r="B6" s="195"/>
      <c r="C6" s="195"/>
      <c r="D6" s="195"/>
      <c r="E6" s="195"/>
      <c r="F6" s="195"/>
      <c r="G6" s="226" t="s">
        <v>100</v>
      </c>
      <c r="H6" s="226"/>
      <c r="I6" s="226"/>
      <c r="J6" s="226"/>
      <c r="K6" s="226"/>
      <c r="L6" s="226"/>
      <c r="M6" s="226"/>
      <c r="N6" s="226"/>
      <c r="O6" s="226"/>
      <c r="P6" s="36" t="s">
        <v>71</v>
      </c>
      <c r="Q6" s="36"/>
      <c r="R6" s="228">
        <v>6782756180</v>
      </c>
      <c r="S6" s="228"/>
      <c r="T6" s="228"/>
      <c r="U6" s="195"/>
      <c r="Z6" s="164" t="s">
        <v>164</v>
      </c>
      <c r="AA6" s="173">
        <v>11</v>
      </c>
      <c r="AB6" s="169" t="s">
        <v>174</v>
      </c>
      <c r="AC6" s="175">
        <v>16</v>
      </c>
    </row>
    <row r="7" spans="1:29">
      <c r="A7" s="195"/>
      <c r="B7" s="195"/>
      <c r="C7" s="195"/>
      <c r="D7" s="195"/>
      <c r="E7" s="195"/>
      <c r="F7" s="195"/>
      <c r="G7" s="224" t="s">
        <v>98</v>
      </c>
      <c r="H7" s="224"/>
      <c r="I7" s="224"/>
      <c r="J7" s="224"/>
      <c r="K7" s="224"/>
      <c r="L7" s="224"/>
      <c r="M7" s="224"/>
      <c r="N7" s="224"/>
      <c r="O7" s="224"/>
      <c r="P7" s="38"/>
      <c r="Q7" s="38"/>
      <c r="R7" s="37"/>
      <c r="S7" s="220"/>
      <c r="T7" s="222"/>
      <c r="U7" s="195"/>
      <c r="Z7" s="165" t="s">
        <v>160</v>
      </c>
      <c r="AA7" s="173">
        <v>10.5</v>
      </c>
      <c r="AB7" s="169" t="s">
        <v>175</v>
      </c>
      <c r="AC7" s="175">
        <v>14</v>
      </c>
    </row>
    <row r="8" spans="1:29">
      <c r="A8" s="195"/>
      <c r="B8" s="195"/>
      <c r="C8" s="195"/>
      <c r="D8" s="195"/>
      <c r="E8" s="195"/>
      <c r="F8" s="195"/>
      <c r="G8" s="227" t="s">
        <v>99</v>
      </c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19"/>
      <c r="S8" s="220"/>
      <c r="T8" s="222"/>
      <c r="U8" s="195"/>
      <c r="Z8" s="164" t="s">
        <v>161</v>
      </c>
      <c r="AA8" s="173">
        <v>10.8</v>
      </c>
      <c r="AB8" s="169" t="s">
        <v>171</v>
      </c>
      <c r="AC8" s="175">
        <v>5.5</v>
      </c>
    </row>
    <row r="9" spans="1:29">
      <c r="A9" s="195"/>
      <c r="B9" s="195"/>
      <c r="C9" s="195"/>
      <c r="E9" s="195"/>
      <c r="F9" s="195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2"/>
      <c r="U9" s="195"/>
      <c r="Z9" s="166" t="s">
        <v>162</v>
      </c>
      <c r="AA9" s="174">
        <v>12</v>
      </c>
      <c r="AB9" s="169" t="s">
        <v>170</v>
      </c>
      <c r="AC9" s="175">
        <v>2.8</v>
      </c>
    </row>
    <row r="10" spans="1:29">
      <c r="A10" s="195"/>
      <c r="B10" s="195"/>
      <c r="C10" s="195"/>
      <c r="D10" s="378" t="s">
        <v>191</v>
      </c>
      <c r="E10" s="378"/>
      <c r="F10" s="378"/>
      <c r="H10" s="220"/>
      <c r="I10" s="220"/>
      <c r="J10" s="220"/>
      <c r="K10" s="220"/>
      <c r="L10" s="220"/>
      <c r="M10" s="220"/>
      <c r="N10" s="220"/>
      <c r="O10" s="220"/>
      <c r="P10" s="36" t="s">
        <v>71</v>
      </c>
      <c r="Q10" s="36"/>
      <c r="R10" s="224"/>
      <c r="S10" s="224"/>
      <c r="T10" s="224"/>
      <c r="U10" s="195"/>
      <c r="Z10" s="162" t="s">
        <v>165</v>
      </c>
      <c r="AA10" s="163">
        <v>6.5000000000000002E-2</v>
      </c>
      <c r="AB10" s="170"/>
      <c r="AC10" s="170"/>
    </row>
    <row r="11" spans="1:29">
      <c r="A11" s="195"/>
      <c r="B11" s="195"/>
      <c r="C11" s="195"/>
      <c r="D11" s="195"/>
      <c r="E11" s="195"/>
      <c r="F11" s="195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2"/>
      <c r="U11" s="195"/>
      <c r="Z11" s="167" t="s">
        <v>166</v>
      </c>
      <c r="AA11" s="167">
        <v>0.09</v>
      </c>
      <c r="AB11" s="171"/>
      <c r="AC11" s="171"/>
    </row>
    <row r="12" spans="1:29">
      <c r="A12" s="195"/>
      <c r="B12" s="195"/>
      <c r="C12" s="195"/>
      <c r="D12" s="341" t="s">
        <v>192</v>
      </c>
      <c r="E12" s="341"/>
      <c r="F12" s="341"/>
      <c r="G12" s="220" t="s">
        <v>193</v>
      </c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2"/>
      <c r="U12" s="195"/>
    </row>
    <row r="13" spans="1:29">
      <c r="A13" s="195"/>
      <c r="B13" s="195"/>
      <c r="C13" s="195"/>
      <c r="D13" s="220"/>
      <c r="E13" s="220"/>
      <c r="F13" s="220"/>
      <c r="G13" s="220"/>
      <c r="H13" s="220"/>
      <c r="I13" s="220"/>
      <c r="J13" s="220"/>
      <c r="K13" s="220"/>
      <c r="L13" s="220"/>
      <c r="M13" s="381" t="s">
        <v>194</v>
      </c>
      <c r="N13" s="382"/>
      <c r="O13" s="382"/>
      <c r="P13" s="382"/>
      <c r="Q13" s="382"/>
      <c r="R13" s="383"/>
      <c r="S13" s="220"/>
      <c r="T13" s="222"/>
      <c r="U13" s="195"/>
    </row>
    <row r="14" spans="1:29" ht="13.2" customHeight="1">
      <c r="A14" s="195"/>
      <c r="B14" s="370" t="s">
        <v>24</v>
      </c>
      <c r="C14" s="370" t="s">
        <v>27</v>
      </c>
      <c r="D14" s="370" t="s">
        <v>186</v>
      </c>
      <c r="E14" s="370" t="s">
        <v>125</v>
      </c>
      <c r="F14" s="370" t="s">
        <v>187</v>
      </c>
      <c r="G14" s="370" t="s">
        <v>144</v>
      </c>
      <c r="H14" s="370" t="s">
        <v>153</v>
      </c>
      <c r="I14" s="384" t="s">
        <v>204</v>
      </c>
      <c r="J14" s="385"/>
      <c r="K14" s="384" t="s">
        <v>201</v>
      </c>
      <c r="L14" s="385"/>
      <c r="M14" s="386" t="s">
        <v>195</v>
      </c>
      <c r="N14" s="370" t="s">
        <v>188</v>
      </c>
      <c r="O14" s="370"/>
      <c r="P14" s="388" t="s">
        <v>189</v>
      </c>
      <c r="Q14" s="389"/>
      <c r="R14" s="370" t="s">
        <v>190</v>
      </c>
      <c r="S14" s="370" t="s">
        <v>208</v>
      </c>
      <c r="T14" s="370" t="s">
        <v>155</v>
      </c>
      <c r="U14" s="195"/>
    </row>
    <row r="15" spans="1:29" ht="13.2" customHeight="1">
      <c r="A15" s="195"/>
      <c r="B15" s="371"/>
      <c r="C15" s="371"/>
      <c r="D15" s="371"/>
      <c r="E15" s="371"/>
      <c r="F15" s="371"/>
      <c r="G15" s="371"/>
      <c r="H15" s="371"/>
      <c r="I15" s="241" t="s">
        <v>202</v>
      </c>
      <c r="J15" s="241" t="s">
        <v>203</v>
      </c>
      <c r="K15" s="241" t="s">
        <v>202</v>
      </c>
      <c r="L15" s="241" t="s">
        <v>203</v>
      </c>
      <c r="M15" s="387"/>
      <c r="N15" s="371"/>
      <c r="O15" s="371"/>
      <c r="P15" s="390"/>
      <c r="Q15" s="391"/>
      <c r="R15" s="371"/>
      <c r="S15" s="371"/>
      <c r="T15" s="371"/>
      <c r="U15" s="195"/>
    </row>
    <row r="16" spans="1:29">
      <c r="A16" s="195"/>
      <c r="B16" s="242" t="s">
        <v>4</v>
      </c>
      <c r="C16" s="243"/>
      <c r="D16" s="243"/>
      <c r="E16" s="243">
        <v>1</v>
      </c>
      <c r="F16" s="243" t="s">
        <v>18</v>
      </c>
      <c r="G16" s="244" t="s">
        <v>167</v>
      </c>
      <c r="H16" s="245"/>
      <c r="I16" s="243"/>
      <c r="J16" s="243"/>
      <c r="K16" s="243"/>
      <c r="L16" s="243"/>
      <c r="M16" s="243"/>
      <c r="N16" s="379"/>
      <c r="O16" s="380"/>
      <c r="P16" s="379"/>
      <c r="Q16" s="380"/>
      <c r="R16" s="243">
        <f t="shared" ref="R16" si="0">Przeswit(M16,N16,P16,O16,Q16)</f>
        <v>0</v>
      </c>
      <c r="S16" s="246"/>
      <c r="T16" s="246">
        <f>I16*J16*0.000001*S16*E16+KosztyMaterialu(G16,H16,K16,L16,Z3:AC9)</f>
        <v>0</v>
      </c>
      <c r="U16" s="195"/>
      <c r="X16" t="s">
        <v>176</v>
      </c>
    </row>
    <row r="17" spans="1:24">
      <c r="A17" s="195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195"/>
      <c r="V17" s="221"/>
      <c r="X17" t="s">
        <v>182</v>
      </c>
    </row>
    <row r="18" spans="1:24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03"/>
      <c r="V18" s="221"/>
    </row>
    <row r="19" spans="1:24">
      <c r="A19" s="195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03"/>
      <c r="X19" t="s">
        <v>205</v>
      </c>
    </row>
    <row r="20" spans="1:24">
      <c r="A20" s="195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X20" t="s">
        <v>206</v>
      </c>
    </row>
    <row r="21" spans="1:24">
      <c r="A21" s="195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X21" t="s">
        <v>207</v>
      </c>
    </row>
    <row r="22" spans="1:24">
      <c r="A22" s="195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X22" t="s">
        <v>196</v>
      </c>
    </row>
    <row r="23" spans="1:24">
      <c r="A23" s="195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X23" t="s">
        <v>197</v>
      </c>
    </row>
    <row r="24" spans="1:24">
      <c r="A24" s="195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X24" t="s">
        <v>198</v>
      </c>
    </row>
    <row r="25" spans="1:24">
      <c r="A25" s="195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</row>
    <row r="26" spans="1:24">
      <c r="A26" s="195"/>
      <c r="B26" s="222"/>
      <c r="C26" s="222"/>
      <c r="D26" s="222"/>
      <c r="E26" s="222"/>
      <c r="F26" s="222"/>
      <c r="G26" s="222"/>
      <c r="H26" s="23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</row>
    <row r="27" spans="1:24">
      <c r="A27" s="195"/>
      <c r="B27" s="222"/>
      <c r="C27" s="222"/>
      <c r="D27" s="222"/>
      <c r="E27" s="222"/>
      <c r="F27" s="222"/>
      <c r="G27" s="222"/>
      <c r="H27" s="23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</row>
    <row r="28" spans="1:24">
      <c r="A28" s="195"/>
      <c r="B28" s="222"/>
      <c r="C28" s="222"/>
      <c r="D28" s="222"/>
      <c r="E28" s="222"/>
      <c r="F28" s="222"/>
      <c r="G28" s="222"/>
      <c r="H28" s="23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</row>
    <row r="29" spans="1:24">
      <c r="A29" s="195"/>
      <c r="B29" s="222"/>
      <c r="C29" s="222"/>
      <c r="D29" s="222"/>
      <c r="E29" s="222"/>
      <c r="F29" s="222"/>
      <c r="G29" s="222"/>
      <c r="H29" s="23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</row>
    <row r="30" spans="1:24">
      <c r="A30" s="195"/>
      <c r="B30" s="222"/>
      <c r="C30" s="222"/>
      <c r="D30" s="222"/>
      <c r="E30" s="222"/>
      <c r="F30" s="222"/>
      <c r="G30" s="222"/>
      <c r="H30" s="23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</row>
    <row r="31" spans="1:24">
      <c r="A31" s="195"/>
      <c r="B31" s="222"/>
      <c r="C31" s="222"/>
      <c r="D31" s="222"/>
      <c r="E31" s="222"/>
      <c r="F31" s="222"/>
      <c r="G31" s="222"/>
      <c r="H31" s="23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</row>
    <row r="32" spans="1:24">
      <c r="A32" s="195"/>
      <c r="B32" s="222"/>
      <c r="C32" s="222"/>
      <c r="D32" s="222"/>
      <c r="E32" s="222"/>
      <c r="F32" s="222"/>
      <c r="G32" s="222"/>
      <c r="H32" s="23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</row>
    <row r="33" spans="1:21">
      <c r="A33" s="195"/>
      <c r="B33" s="222"/>
      <c r="C33" s="222"/>
      <c r="D33" s="222"/>
      <c r="E33" s="222"/>
      <c r="F33" s="222"/>
      <c r="G33" s="222"/>
      <c r="H33" s="23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</row>
    <row r="34" spans="1:21">
      <c r="A34" s="195"/>
      <c r="B34" s="222"/>
      <c r="C34" s="222"/>
      <c r="D34" s="222"/>
      <c r="E34" s="222"/>
      <c r="F34" s="222"/>
      <c r="G34" s="222"/>
      <c r="H34" s="23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</row>
    <row r="35" spans="1:21">
      <c r="A35" s="195"/>
      <c r="B35" s="222"/>
      <c r="C35" s="222"/>
      <c r="D35" s="222"/>
      <c r="E35" s="222"/>
      <c r="F35" s="222"/>
      <c r="G35" s="222"/>
      <c r="H35" s="23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</row>
    <row r="36" spans="1:21">
      <c r="A36" s="195"/>
      <c r="B36" s="222"/>
      <c r="C36" s="222"/>
      <c r="D36" s="195"/>
      <c r="E36" s="195"/>
      <c r="F36" s="195"/>
      <c r="G36" s="195"/>
      <c r="H36" s="195"/>
      <c r="I36" s="220"/>
      <c r="J36" s="220"/>
      <c r="K36" s="220"/>
      <c r="L36" s="220"/>
      <c r="M36" s="195"/>
      <c r="N36" s="195"/>
      <c r="O36" s="220"/>
      <c r="P36" s="195"/>
      <c r="Q36" s="220"/>
      <c r="R36" s="195"/>
      <c r="S36" s="195"/>
      <c r="T36" s="222"/>
      <c r="U36" s="195"/>
    </row>
    <row r="37" spans="1:21">
      <c r="A37" s="195"/>
      <c r="B37" s="195"/>
      <c r="C37" s="195"/>
      <c r="D37" s="195"/>
      <c r="E37" s="195"/>
      <c r="F37" s="195"/>
      <c r="G37" s="195"/>
      <c r="H37" s="195"/>
      <c r="I37" s="220"/>
      <c r="J37" s="220"/>
      <c r="K37" s="220"/>
      <c r="L37" s="220"/>
      <c r="M37" s="195"/>
      <c r="N37" s="195"/>
      <c r="O37" s="220"/>
      <c r="P37" s="195"/>
      <c r="Q37" s="220"/>
      <c r="R37" s="195"/>
      <c r="S37" s="195"/>
      <c r="T37" s="222"/>
      <c r="U37" s="195"/>
    </row>
    <row r="38" spans="1:21">
      <c r="A38" s="195"/>
      <c r="B38" s="195"/>
      <c r="C38" s="195"/>
      <c r="D38" s="195"/>
      <c r="E38" s="195"/>
      <c r="F38" s="195"/>
      <c r="G38" s="195"/>
      <c r="H38" s="195"/>
      <c r="I38" s="220"/>
      <c r="J38" s="220"/>
      <c r="K38" s="220"/>
      <c r="L38" s="220"/>
      <c r="M38" s="195"/>
      <c r="N38" s="195"/>
      <c r="O38" s="220"/>
      <c r="P38" s="195"/>
      <c r="Q38" s="220"/>
      <c r="R38" s="195"/>
      <c r="S38" s="195"/>
      <c r="T38" s="222"/>
      <c r="U38" s="195"/>
    </row>
    <row r="39" spans="1:21">
      <c r="A39" s="195"/>
      <c r="B39" s="195"/>
      <c r="C39" s="195"/>
      <c r="D39" s="195"/>
      <c r="E39" s="195"/>
      <c r="F39" s="195"/>
      <c r="G39" s="195"/>
      <c r="H39" s="195"/>
      <c r="I39" s="220"/>
      <c r="J39" s="220"/>
      <c r="K39" s="220"/>
      <c r="L39" s="220"/>
      <c r="M39" s="195"/>
      <c r="N39" s="195"/>
      <c r="O39" s="220"/>
      <c r="P39" s="195"/>
      <c r="Q39" s="220"/>
      <c r="R39" s="195"/>
      <c r="S39" s="195"/>
      <c r="T39" s="222"/>
      <c r="U39" s="195"/>
    </row>
    <row r="40" spans="1:21">
      <c r="A40" s="195"/>
      <c r="B40" s="195"/>
      <c r="C40" s="195"/>
      <c r="D40" s="195"/>
      <c r="E40" s="195"/>
      <c r="F40" s="195"/>
      <c r="G40" s="195"/>
      <c r="H40" s="195"/>
      <c r="I40" s="220"/>
      <c r="J40" s="220"/>
      <c r="K40" s="220"/>
      <c r="L40" s="220"/>
      <c r="M40" s="195"/>
      <c r="N40" s="195"/>
      <c r="O40" s="220"/>
      <c r="P40" s="195"/>
      <c r="Q40" s="220"/>
      <c r="R40" s="195"/>
      <c r="S40" s="195"/>
      <c r="T40" s="222"/>
      <c r="U40" s="195"/>
    </row>
    <row r="41" spans="1:21">
      <c r="A41" s="195"/>
      <c r="B41" s="195"/>
      <c r="C41" s="195"/>
      <c r="D41" s="195"/>
      <c r="E41" s="195"/>
      <c r="F41" s="195"/>
      <c r="G41" s="195"/>
      <c r="H41" s="195"/>
      <c r="I41" s="220"/>
      <c r="J41" s="220"/>
      <c r="K41" s="220"/>
      <c r="L41" s="220"/>
      <c r="M41" s="195"/>
      <c r="N41" s="195"/>
      <c r="O41" s="220"/>
      <c r="P41" s="195"/>
      <c r="Q41" s="220"/>
      <c r="R41" s="195"/>
      <c r="S41" s="195"/>
      <c r="T41" s="222"/>
      <c r="U41" s="195"/>
    </row>
    <row r="42" spans="1:21">
      <c r="A42" s="195"/>
      <c r="B42" s="195"/>
      <c r="C42" s="377" t="s">
        <v>30</v>
      </c>
      <c r="D42" s="377"/>
      <c r="E42" s="334" t="s">
        <v>73</v>
      </c>
      <c r="F42" s="334"/>
      <c r="G42" s="195"/>
      <c r="H42" s="195"/>
      <c r="I42" s="220"/>
      <c r="J42" s="220"/>
      <c r="K42" s="220"/>
      <c r="L42" s="220"/>
      <c r="M42" s="195"/>
      <c r="N42" s="195"/>
      <c r="O42" s="220"/>
      <c r="P42" s="195"/>
      <c r="Q42" s="220"/>
      <c r="R42" s="195"/>
      <c r="S42" s="195"/>
      <c r="T42" s="222"/>
      <c r="U42" s="195"/>
    </row>
    <row r="43" spans="1:21">
      <c r="A43" s="195"/>
      <c r="B43" s="195"/>
      <c r="C43" s="377" t="s">
        <v>31</v>
      </c>
      <c r="D43" s="377"/>
      <c r="E43" s="334" t="s">
        <v>67</v>
      </c>
      <c r="F43" s="334"/>
      <c r="G43" s="195"/>
      <c r="H43" s="195"/>
      <c r="I43" s="220"/>
      <c r="J43" s="220"/>
      <c r="K43" s="220"/>
      <c r="L43" s="220"/>
      <c r="M43" s="195"/>
      <c r="N43" s="195"/>
      <c r="O43" s="220"/>
      <c r="P43" s="195"/>
      <c r="Q43" s="220"/>
      <c r="R43" s="195"/>
      <c r="S43" s="195"/>
      <c r="T43" s="222"/>
      <c r="U43" s="195"/>
    </row>
    <row r="44" spans="1:21">
      <c r="A44" s="195"/>
      <c r="B44" s="195"/>
      <c r="C44" s="195"/>
      <c r="D44" s="195"/>
      <c r="E44" s="195"/>
      <c r="F44" s="195"/>
      <c r="G44" s="195"/>
      <c r="H44" s="195"/>
      <c r="I44" s="220"/>
      <c r="J44" s="220"/>
      <c r="K44" s="220"/>
      <c r="L44" s="220"/>
      <c r="M44" s="195"/>
      <c r="N44" s="195"/>
      <c r="O44" s="220"/>
      <c r="P44" s="195"/>
      <c r="Q44" s="220"/>
      <c r="R44" s="195"/>
      <c r="S44" s="195"/>
      <c r="T44" s="222"/>
      <c r="U44" s="195"/>
    </row>
    <row r="45" spans="1:21">
      <c r="A45" s="195"/>
      <c r="B45" s="195"/>
      <c r="C45" s="195"/>
      <c r="D45" s="195"/>
      <c r="E45" s="195"/>
      <c r="F45" s="195"/>
      <c r="G45" s="195"/>
      <c r="H45" s="195"/>
      <c r="I45" s="220"/>
      <c r="J45" s="220"/>
      <c r="K45" s="220"/>
      <c r="L45" s="220"/>
      <c r="M45" s="195"/>
      <c r="N45" s="195"/>
      <c r="O45" s="220"/>
      <c r="P45" s="195"/>
      <c r="Q45" s="220"/>
      <c r="R45" s="195"/>
      <c r="S45" s="195"/>
      <c r="T45" s="222"/>
      <c r="U45" s="195"/>
    </row>
    <row r="46" spans="1:21">
      <c r="A46" s="195"/>
      <c r="B46" s="195"/>
      <c r="C46" s="195"/>
      <c r="D46" s="195"/>
      <c r="E46" s="195"/>
      <c r="F46" s="195"/>
      <c r="G46" s="195"/>
      <c r="H46" s="195"/>
      <c r="I46" s="220"/>
      <c r="J46" s="220"/>
      <c r="K46" s="220"/>
      <c r="L46" s="220"/>
      <c r="M46" s="195"/>
      <c r="N46" s="195"/>
      <c r="O46" s="220"/>
      <c r="P46" s="195"/>
      <c r="Q46" s="220"/>
      <c r="R46" s="195"/>
      <c r="S46" s="195"/>
      <c r="T46" s="222"/>
      <c r="U46" s="195"/>
    </row>
    <row r="47" spans="1:21">
      <c r="A47" s="195"/>
      <c r="B47" s="195"/>
      <c r="C47" s="195"/>
      <c r="D47" s="195"/>
      <c r="E47" s="195"/>
      <c r="F47" s="195"/>
      <c r="G47" s="195"/>
      <c r="H47" s="195"/>
      <c r="I47" s="220"/>
      <c r="J47" s="220"/>
      <c r="K47" s="220"/>
      <c r="L47" s="220"/>
      <c r="M47" s="195"/>
      <c r="N47" s="195"/>
      <c r="O47" s="220"/>
      <c r="P47" s="195"/>
      <c r="Q47" s="220"/>
      <c r="R47" s="195"/>
      <c r="S47" s="195"/>
      <c r="T47" s="222"/>
      <c r="U47" s="195"/>
    </row>
    <row r="48" spans="1:21">
      <c r="A48" s="195"/>
      <c r="B48" s="195"/>
      <c r="C48" s="374" t="s">
        <v>58</v>
      </c>
      <c r="D48" s="374"/>
      <c r="E48" s="374"/>
      <c r="F48" s="374"/>
      <c r="G48" s="374"/>
      <c r="H48" s="195"/>
      <c r="I48" s="220"/>
      <c r="J48" s="220"/>
      <c r="K48" s="220"/>
      <c r="L48" s="220"/>
      <c r="M48" s="195"/>
      <c r="N48" s="195"/>
      <c r="O48" s="220"/>
      <c r="P48" s="195"/>
      <c r="Q48" s="220"/>
      <c r="R48" s="195"/>
      <c r="S48" s="195"/>
      <c r="T48" s="222"/>
      <c r="U48" s="195"/>
    </row>
    <row r="49" spans="1:21">
      <c r="A49" s="195"/>
      <c r="B49" s="195"/>
      <c r="C49" s="373" t="s">
        <v>41</v>
      </c>
      <c r="D49" s="373"/>
      <c r="E49" s="373"/>
      <c r="F49" s="373"/>
      <c r="G49" s="373"/>
      <c r="H49" s="195"/>
      <c r="I49" s="220"/>
      <c r="J49" s="220"/>
      <c r="K49" s="220"/>
      <c r="L49" s="220"/>
      <c r="M49" s="195"/>
      <c r="N49" s="195"/>
      <c r="O49" s="220"/>
      <c r="P49" s="195"/>
      <c r="Q49" s="220"/>
      <c r="R49" s="195"/>
      <c r="S49" s="195"/>
      <c r="T49" s="222"/>
      <c r="U49" s="195"/>
    </row>
    <row r="50" spans="1:21">
      <c r="A50" s="195"/>
      <c r="B50" s="195"/>
      <c r="C50" s="195"/>
      <c r="D50" s="195"/>
      <c r="E50" s="195"/>
      <c r="F50" s="195"/>
      <c r="G50" s="195"/>
      <c r="H50" s="195"/>
      <c r="I50" s="220"/>
      <c r="J50" s="220"/>
      <c r="K50" s="220"/>
      <c r="L50" s="220"/>
      <c r="M50" s="195"/>
      <c r="N50" s="195"/>
      <c r="O50" s="220"/>
      <c r="P50" s="195"/>
      <c r="Q50" s="220"/>
      <c r="R50" s="195"/>
      <c r="S50" s="195"/>
      <c r="T50" s="222"/>
      <c r="U50" s="195"/>
    </row>
    <row r="51" spans="1:21">
      <c r="A51" s="195"/>
      <c r="B51" s="195"/>
      <c r="C51" s="195"/>
      <c r="D51" s="195"/>
      <c r="E51" s="195"/>
      <c r="F51" s="195"/>
      <c r="G51" s="195"/>
      <c r="H51" s="195"/>
      <c r="I51" s="220"/>
      <c r="J51" s="220"/>
      <c r="K51" s="220"/>
      <c r="L51" s="220"/>
      <c r="M51" s="195"/>
      <c r="N51" s="195"/>
      <c r="O51" s="220"/>
      <c r="P51" s="195"/>
      <c r="Q51" s="220"/>
      <c r="R51" s="195"/>
      <c r="S51" s="195"/>
      <c r="T51" s="222"/>
      <c r="U51" s="195"/>
    </row>
    <row r="52" spans="1:21">
      <c r="A52" s="195"/>
      <c r="B52" s="195"/>
      <c r="C52" s="195"/>
      <c r="D52" s="195"/>
      <c r="E52" s="195"/>
      <c r="F52" s="195"/>
      <c r="G52" s="195"/>
      <c r="H52" s="195"/>
      <c r="I52" s="220"/>
      <c r="J52" s="220"/>
      <c r="K52" s="220"/>
      <c r="L52" s="220"/>
      <c r="M52" s="195"/>
      <c r="N52" s="195"/>
      <c r="O52" s="220"/>
      <c r="P52" s="195"/>
      <c r="Q52" s="220"/>
      <c r="R52" s="195"/>
      <c r="S52" s="195"/>
      <c r="T52" s="222"/>
      <c r="U52" s="195"/>
    </row>
    <row r="53" spans="1:21">
      <c r="A53" s="195"/>
      <c r="B53" s="195"/>
      <c r="C53" s="375" t="s">
        <v>40</v>
      </c>
      <c r="D53" s="375"/>
      <c r="E53" s="375"/>
      <c r="F53" s="375"/>
      <c r="G53" s="375"/>
      <c r="H53" s="375"/>
      <c r="I53" s="375"/>
      <c r="J53" s="375"/>
      <c r="K53" s="375"/>
      <c r="L53" s="375"/>
      <c r="M53" s="375"/>
      <c r="N53" s="375"/>
      <c r="O53" s="375"/>
      <c r="P53" s="375"/>
      <c r="Q53" s="375"/>
      <c r="R53" s="375"/>
      <c r="S53" s="375"/>
      <c r="T53" s="233"/>
      <c r="U53" s="195"/>
    </row>
    <row r="54" spans="1:21">
      <c r="A54" s="195"/>
      <c r="B54" s="195"/>
      <c r="C54" s="376" t="s">
        <v>32</v>
      </c>
      <c r="D54" s="376"/>
      <c r="E54" s="376"/>
      <c r="F54" s="376"/>
      <c r="G54" s="376"/>
      <c r="H54" s="376"/>
      <c r="I54" s="376"/>
      <c r="J54" s="376"/>
      <c r="K54" s="376"/>
      <c r="L54" s="376"/>
      <c r="M54" s="376"/>
      <c r="N54" s="376"/>
      <c r="O54" s="376"/>
      <c r="P54" s="376"/>
      <c r="Q54" s="376"/>
      <c r="R54" s="376"/>
      <c r="S54" s="376"/>
      <c r="T54" s="234"/>
      <c r="U54" s="195"/>
    </row>
    <row r="55" spans="1:21">
      <c r="A55" s="195"/>
      <c r="B55" s="195"/>
      <c r="C55" s="372" t="s">
        <v>55</v>
      </c>
      <c r="D55" s="372"/>
      <c r="E55" s="372"/>
      <c r="F55" s="372"/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231"/>
      <c r="U55" s="195"/>
    </row>
    <row r="56" spans="1:21">
      <c r="A56" s="195"/>
      <c r="B56" s="195"/>
      <c r="C56" s="372" t="s">
        <v>56</v>
      </c>
      <c r="D56" s="372"/>
      <c r="E56" s="372"/>
      <c r="F56" s="372"/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231"/>
      <c r="U56" s="195"/>
    </row>
    <row r="57" spans="1:21">
      <c r="A57" s="195"/>
      <c r="B57" s="195"/>
      <c r="C57" s="372" t="s">
        <v>57</v>
      </c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231"/>
      <c r="U57" s="195"/>
    </row>
  </sheetData>
  <mergeCells count="33">
    <mergeCell ref="D10:F10"/>
    <mergeCell ref="D12:F12"/>
    <mergeCell ref="E42:F42"/>
    <mergeCell ref="C42:D42"/>
    <mergeCell ref="P16:Q16"/>
    <mergeCell ref="M13:R13"/>
    <mergeCell ref="K14:L14"/>
    <mergeCell ref="I14:J14"/>
    <mergeCell ref="N16:O16"/>
    <mergeCell ref="M14:M15"/>
    <mergeCell ref="N14:O15"/>
    <mergeCell ref="P14:Q15"/>
    <mergeCell ref="E43:F43"/>
    <mergeCell ref="C55:S55"/>
    <mergeCell ref="C56:S56"/>
    <mergeCell ref="C57:S57"/>
    <mergeCell ref="C49:G49"/>
    <mergeCell ref="C48:G48"/>
    <mergeCell ref="C53:S53"/>
    <mergeCell ref="C54:S54"/>
    <mergeCell ref="C43:D43"/>
    <mergeCell ref="B14:B15"/>
    <mergeCell ref="C14:C15"/>
    <mergeCell ref="D14:D15"/>
    <mergeCell ref="E14:E15"/>
    <mergeCell ref="H14:H15"/>
    <mergeCell ref="G14:G15"/>
    <mergeCell ref="F14:F15"/>
    <mergeCell ref="Z2:AA2"/>
    <mergeCell ref="AB2:AC2"/>
    <mergeCell ref="T14:T15"/>
    <mergeCell ref="S14:S15"/>
    <mergeCell ref="R14:R15"/>
  </mergeCells>
  <dataValidations count="2">
    <dataValidation allowBlank="1" showInputMessage="1" sqref="C16" xr:uid="{7DC93B42-62F5-437D-9EF3-EC60721FB6BB}"/>
    <dataValidation type="list" allowBlank="1" showInputMessage="1" sqref="AB2" xr:uid="{9B46B8E4-2B8F-4107-81AD-D8A9CF30F52E}">
      <formula1>$AF$12:$AF$13</formula1>
    </dataValidation>
  </dataValidations>
  <pageMargins left="0.23" right="0.28000000000000003" top="0.32" bottom="0.23" header="0.12" footer="0.1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WypelnijPerforacja_Click">
                <anchor moveWithCells="1" sizeWithCells="1">
                  <from>
                    <xdr:col>7</xdr:col>
                    <xdr:colOff>480060</xdr:colOff>
                    <xdr:row>10</xdr:row>
                    <xdr:rowOff>83820</xdr:rowOff>
                  </from>
                  <to>
                    <xdr:col>11</xdr:col>
                    <xdr:colOff>327660</xdr:colOff>
                    <xdr:row>12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E1896-58C6-49CD-9764-4207D947BBC5}">
          <x14:formula1>
            <xm:f>koszty!#REF!</xm:f>
          </x14:formula1>
          <xm:sqref>W16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002060"/>
  </sheetPr>
  <dimension ref="A1:T61"/>
  <sheetViews>
    <sheetView showZeros="0" zoomScale="80" zoomScaleNormal="80" workbookViewId="0">
      <selection activeCell="M9" sqref="M9"/>
    </sheetView>
  </sheetViews>
  <sheetFormatPr defaultRowHeight="13.2"/>
  <cols>
    <col min="1" max="1" width="3.5546875" bestFit="1" customWidth="1"/>
    <col min="2" max="2" width="38.109375" customWidth="1"/>
    <col min="3" max="3" width="11.5546875" customWidth="1"/>
    <col min="4" max="4" width="5" customWidth="1"/>
    <col min="5" max="5" width="6.44140625" customWidth="1"/>
    <col min="6" max="6" width="8" bestFit="1" customWidth="1"/>
    <col min="7" max="7" width="12.88671875" bestFit="1" customWidth="1"/>
    <col min="8" max="8" width="9.88671875" customWidth="1"/>
    <col min="9" max="9" width="5.88671875" customWidth="1"/>
    <col min="10" max="10" width="11" customWidth="1"/>
    <col min="11" max="11" width="14.44140625" bestFit="1" customWidth="1"/>
  </cols>
  <sheetData>
    <row r="1" spans="1:20" s="22" customFormat="1" ht="12.75" customHeight="1">
      <c r="A1" s="404"/>
      <c r="B1" s="405"/>
      <c r="C1" s="406"/>
      <c r="D1" s="392" t="s">
        <v>79</v>
      </c>
      <c r="E1" s="393"/>
      <c r="F1" s="393"/>
      <c r="G1" s="393"/>
      <c r="H1" s="393"/>
      <c r="I1" s="393"/>
      <c r="J1" s="427" t="s">
        <v>80</v>
      </c>
      <c r="K1" s="112" t="s">
        <v>81</v>
      </c>
    </row>
    <row r="2" spans="1:20" s="22" customFormat="1" ht="12.75" customHeight="1">
      <c r="A2" s="407"/>
      <c r="B2" s="394"/>
      <c r="C2" s="408"/>
      <c r="D2" s="394"/>
      <c r="E2" s="394"/>
      <c r="F2" s="394"/>
      <c r="G2" s="394"/>
      <c r="H2" s="394"/>
      <c r="I2" s="394"/>
      <c r="J2" s="428"/>
      <c r="K2" s="116">
        <f>(koszty!E7)</f>
        <v>0</v>
      </c>
    </row>
    <row r="3" spans="1:20" s="22" customFormat="1" ht="12.75" customHeight="1">
      <c r="A3" s="407"/>
      <c r="B3" s="394"/>
      <c r="C3" s="408"/>
      <c r="D3" s="394"/>
      <c r="E3" s="394"/>
      <c r="F3" s="394"/>
      <c r="G3" s="394"/>
      <c r="H3" s="394"/>
      <c r="I3" s="394"/>
      <c r="J3" s="52" t="s">
        <v>82</v>
      </c>
      <c r="K3" s="113" t="s">
        <v>83</v>
      </c>
    </row>
    <row r="4" spans="1:20" s="22" customFormat="1" ht="13.8" thickBot="1">
      <c r="A4" s="409"/>
      <c r="B4" s="410"/>
      <c r="C4" s="411"/>
      <c r="D4" s="395"/>
      <c r="E4" s="395"/>
      <c r="F4" s="395"/>
      <c r="G4" s="395"/>
      <c r="H4" s="395"/>
      <c r="I4" s="395"/>
      <c r="J4" s="52" t="s">
        <v>128</v>
      </c>
      <c r="K4" s="114">
        <f ca="1">TODAY()</f>
        <v>44149</v>
      </c>
    </row>
    <row r="5" spans="1:20" s="22" customFormat="1">
      <c r="A5" s="111"/>
      <c r="B5" s="412" t="s">
        <v>85</v>
      </c>
      <c r="C5" s="413"/>
      <c r="D5" s="58" t="str">
        <f>(koszty!C7)</f>
        <v>20/</v>
      </c>
      <c r="E5" s="59" t="str">
        <f>(koszty!D7)</f>
        <v>09-</v>
      </c>
      <c r="F5" s="59">
        <f>(koszty!E7)</f>
        <v>0</v>
      </c>
      <c r="G5" s="96" t="s">
        <v>95</v>
      </c>
      <c r="H5" s="396" t="e">
        <f>koszty!#REF!</f>
        <v>#REF!</v>
      </c>
      <c r="I5" s="397"/>
      <c r="J5" s="115" t="s">
        <v>84</v>
      </c>
      <c r="K5" s="88"/>
    </row>
    <row r="6" spans="1:20" ht="13.8" thickBot="1">
      <c r="A6" s="64"/>
      <c r="B6" s="97"/>
      <c r="C6" s="97"/>
      <c r="D6" s="418"/>
      <c r="E6" s="418"/>
      <c r="F6" s="418"/>
      <c r="G6" s="97"/>
      <c r="H6" s="97"/>
      <c r="I6" s="97"/>
      <c r="J6" s="98"/>
      <c r="K6" s="99"/>
    </row>
    <row r="7" spans="1:20">
      <c r="A7" s="83"/>
      <c r="B7" s="402" t="s">
        <v>51</v>
      </c>
      <c r="C7" s="403"/>
      <c r="D7" s="419" t="s">
        <v>86</v>
      </c>
      <c r="E7" s="420"/>
      <c r="F7" s="84" t="s">
        <v>87</v>
      </c>
      <c r="G7" s="402" t="s">
        <v>2</v>
      </c>
      <c r="H7" s="403"/>
      <c r="I7" s="84" t="s">
        <v>3</v>
      </c>
      <c r="J7" s="85"/>
      <c r="K7" s="86" t="s">
        <v>88</v>
      </c>
    </row>
    <row r="8" spans="1:20">
      <c r="A8" s="61" t="s">
        <v>4</v>
      </c>
      <c r="B8" s="50" t="e">
        <f>koszty!#REF!</f>
        <v>#REF!</v>
      </c>
      <c r="C8" s="51" t="e">
        <f>koszty!#REF!</f>
        <v>#REF!</v>
      </c>
      <c r="D8" s="50"/>
      <c r="E8" s="51" t="e">
        <f>koszty!#REF!*koszty!#REF!</f>
        <v>#REF!</v>
      </c>
      <c r="F8" s="41" t="e">
        <f>koszty!#REF!</f>
        <v>#REF!</v>
      </c>
      <c r="G8" s="200" t="e">
        <f>koszty!#REF!</f>
        <v>#REF!</v>
      </c>
      <c r="H8" s="200"/>
      <c r="I8" s="223" t="e">
        <f>koszty!#REF!</f>
        <v>#REF!</v>
      </c>
      <c r="J8" s="41"/>
      <c r="K8" s="89"/>
      <c r="T8" s="120"/>
    </row>
    <row r="9" spans="1:20">
      <c r="A9" s="61" t="s">
        <v>43</v>
      </c>
      <c r="B9" s="80"/>
      <c r="C9" s="81"/>
      <c r="D9" s="80"/>
      <c r="E9" s="51"/>
      <c r="F9" s="82"/>
      <c r="G9" s="200"/>
      <c r="H9" s="200"/>
      <c r="I9" s="223"/>
      <c r="J9" s="41"/>
      <c r="K9" s="89"/>
      <c r="T9" s="120"/>
    </row>
    <row r="10" spans="1:20">
      <c r="A10" s="61" t="s">
        <v>44</v>
      </c>
      <c r="B10" s="50"/>
      <c r="C10" s="51"/>
      <c r="D10" s="50"/>
      <c r="E10" s="51"/>
      <c r="F10" s="41"/>
      <c r="G10" s="200"/>
      <c r="H10" s="200"/>
      <c r="I10" s="223"/>
      <c r="J10" s="41"/>
      <c r="K10" s="89"/>
      <c r="T10" s="120"/>
    </row>
    <row r="11" spans="1:20">
      <c r="A11" s="61" t="s">
        <v>45</v>
      </c>
      <c r="B11" s="50"/>
      <c r="C11" s="51"/>
      <c r="D11" s="50"/>
      <c r="E11" s="51"/>
      <c r="F11" s="41"/>
      <c r="G11" s="200"/>
      <c r="H11" s="200"/>
      <c r="I11" s="223"/>
      <c r="J11" s="41"/>
      <c r="K11" s="89"/>
      <c r="T11" s="120"/>
    </row>
    <row r="12" spans="1:20">
      <c r="A12" s="61" t="s">
        <v>46</v>
      </c>
      <c r="B12" s="50"/>
      <c r="C12" s="51"/>
      <c r="D12" s="50"/>
      <c r="E12" s="51"/>
      <c r="F12" s="41"/>
      <c r="G12" s="200"/>
      <c r="H12" s="51"/>
      <c r="I12" s="223"/>
      <c r="J12" s="41"/>
      <c r="K12" s="89"/>
      <c r="M12" s="120"/>
    </row>
    <row r="13" spans="1:20">
      <c r="A13" s="61" t="s">
        <v>47</v>
      </c>
      <c r="B13" s="50"/>
      <c r="C13" s="51"/>
      <c r="D13" s="50"/>
      <c r="E13" s="51"/>
      <c r="F13" s="41"/>
      <c r="G13" s="200"/>
      <c r="H13" s="51"/>
      <c r="I13" s="223"/>
      <c r="J13" s="41"/>
      <c r="K13" s="89"/>
    </row>
    <row r="14" spans="1:20">
      <c r="A14" s="61" t="s">
        <v>60</v>
      </c>
      <c r="B14" s="50"/>
      <c r="C14" s="51"/>
      <c r="D14" s="50"/>
      <c r="E14" s="51"/>
      <c r="F14" s="41"/>
      <c r="G14" s="200"/>
      <c r="H14" s="51"/>
      <c r="I14" s="223"/>
      <c r="J14" s="41"/>
      <c r="K14" s="89"/>
    </row>
    <row r="15" spans="1:20">
      <c r="A15" s="61" t="s">
        <v>61</v>
      </c>
      <c r="B15" s="50"/>
      <c r="C15" s="51"/>
      <c r="D15" s="50"/>
      <c r="E15" s="51"/>
      <c r="F15" s="41"/>
      <c r="G15" s="200"/>
      <c r="H15" s="51"/>
      <c r="I15" s="223"/>
      <c r="J15" s="41"/>
      <c r="K15" s="89"/>
    </row>
    <row r="16" spans="1:20">
      <c r="A16" s="61" t="s">
        <v>62</v>
      </c>
      <c r="B16" s="50"/>
      <c r="C16" s="51"/>
      <c r="D16" s="50"/>
      <c r="E16" s="51"/>
      <c r="F16" s="41"/>
      <c r="G16" s="200"/>
      <c r="H16" s="51"/>
      <c r="I16" s="223"/>
      <c r="J16" s="41"/>
      <c r="K16" s="89"/>
      <c r="O16" s="207"/>
    </row>
    <row r="17" spans="1:18">
      <c r="A17" s="61" t="s">
        <v>63</v>
      </c>
      <c r="B17" s="50"/>
      <c r="C17" s="51"/>
      <c r="D17" s="50"/>
      <c r="E17" s="51"/>
      <c r="F17" s="41"/>
      <c r="G17" s="206"/>
      <c r="H17" s="51"/>
      <c r="I17" s="223"/>
      <c r="J17" s="41"/>
      <c r="K17" s="89"/>
    </row>
    <row r="18" spans="1:18">
      <c r="A18" s="61" t="s">
        <v>74</v>
      </c>
      <c r="B18" s="50"/>
      <c r="C18" s="51"/>
      <c r="D18" s="50"/>
      <c r="E18" s="51"/>
      <c r="F18" s="41"/>
      <c r="G18" s="206"/>
      <c r="H18" s="51"/>
      <c r="I18" s="223"/>
      <c r="J18" s="41"/>
      <c r="K18" s="89"/>
    </row>
    <row r="19" spans="1:18">
      <c r="A19" s="61" t="s">
        <v>75</v>
      </c>
      <c r="B19" s="50"/>
      <c r="C19" s="51"/>
      <c r="D19" s="50"/>
      <c r="E19" s="51"/>
      <c r="F19" s="41"/>
      <c r="G19" s="206"/>
      <c r="H19" s="51"/>
      <c r="I19" s="223"/>
      <c r="J19" s="41"/>
      <c r="K19" s="89"/>
    </row>
    <row r="20" spans="1:18">
      <c r="A20" s="61" t="s">
        <v>76</v>
      </c>
      <c r="B20" s="50"/>
      <c r="C20" s="51"/>
      <c r="D20" s="50"/>
      <c r="E20" s="51"/>
      <c r="F20" s="41"/>
      <c r="G20" s="206"/>
      <c r="H20" s="51"/>
      <c r="I20" s="223"/>
      <c r="J20" s="41"/>
      <c r="K20" s="89"/>
    </row>
    <row r="21" spans="1:18">
      <c r="A21" s="61" t="s">
        <v>77</v>
      </c>
      <c r="B21" s="50"/>
      <c r="C21" s="51"/>
      <c r="D21" s="50"/>
      <c r="E21" s="51"/>
      <c r="F21" s="41"/>
      <c r="G21" s="206"/>
      <c r="H21" s="51"/>
      <c r="I21" s="223"/>
      <c r="J21" s="41"/>
      <c r="K21" s="89"/>
    </row>
    <row r="22" spans="1:18">
      <c r="A22" s="61" t="s">
        <v>78</v>
      </c>
      <c r="B22" s="50"/>
      <c r="C22" s="51"/>
      <c r="D22" s="50"/>
      <c r="E22" s="51"/>
      <c r="F22" s="41"/>
      <c r="G22" s="206"/>
      <c r="H22" s="51"/>
      <c r="I22" s="223"/>
      <c r="J22" s="41"/>
      <c r="K22" s="89"/>
    </row>
    <row r="23" spans="1:18">
      <c r="A23" s="61" t="s">
        <v>92</v>
      </c>
      <c r="B23" s="50"/>
      <c r="C23" s="51"/>
      <c r="D23" s="50"/>
      <c r="E23" s="51"/>
      <c r="F23" s="41"/>
      <c r="G23" s="206"/>
      <c r="H23" s="51"/>
      <c r="I23" s="223"/>
      <c r="J23" s="41"/>
      <c r="K23" s="62"/>
      <c r="R23" s="120"/>
    </row>
    <row r="24" spans="1:18">
      <c r="A24" s="61" t="s">
        <v>96</v>
      </c>
      <c r="B24" s="80"/>
      <c r="C24" s="81"/>
      <c r="D24" s="80"/>
      <c r="E24" s="51"/>
      <c r="F24" s="82"/>
      <c r="G24" s="206"/>
      <c r="H24" s="81"/>
      <c r="I24" s="223"/>
      <c r="J24" s="41"/>
      <c r="K24" s="89"/>
    </row>
    <row r="25" spans="1:18">
      <c r="A25" s="61" t="s">
        <v>97</v>
      </c>
      <c r="B25" s="80"/>
      <c r="C25" s="81"/>
      <c r="D25" s="80"/>
      <c r="E25" s="51"/>
      <c r="F25" s="82"/>
      <c r="G25" s="206"/>
      <c r="H25" s="81"/>
      <c r="I25" s="223"/>
      <c r="J25" s="41"/>
      <c r="K25" s="89"/>
    </row>
    <row r="26" spans="1:18">
      <c r="A26" s="61" t="s">
        <v>117</v>
      </c>
      <c r="B26" s="80"/>
      <c r="C26" s="81"/>
      <c r="D26" s="80"/>
      <c r="E26" s="51"/>
      <c r="F26" s="82"/>
      <c r="G26" s="206"/>
      <c r="H26" s="81"/>
      <c r="I26" s="223"/>
      <c r="J26" s="41"/>
      <c r="K26" s="89"/>
    </row>
    <row r="27" spans="1:18">
      <c r="A27" s="61" t="s">
        <v>118</v>
      </c>
      <c r="B27" s="80"/>
      <c r="C27" s="81"/>
      <c r="D27" s="80"/>
      <c r="E27" s="51"/>
      <c r="F27" s="82"/>
      <c r="G27" s="206"/>
      <c r="H27" s="81"/>
      <c r="I27" s="223"/>
      <c r="J27" s="41"/>
      <c r="K27" s="89"/>
    </row>
    <row r="28" spans="1:18">
      <c r="A28" s="79"/>
      <c r="B28" s="400" t="s">
        <v>185</v>
      </c>
      <c r="C28" s="401"/>
      <c r="D28" s="421" t="s">
        <v>89</v>
      </c>
      <c r="E28" s="422"/>
      <c r="F28" s="429"/>
      <c r="G28" s="424" t="s">
        <v>183</v>
      </c>
      <c r="H28" s="423"/>
      <c r="I28" s="424" t="s">
        <v>91</v>
      </c>
      <c r="J28" s="425"/>
      <c r="K28" s="426"/>
    </row>
    <row r="29" spans="1:18" ht="27" customHeight="1" thickBot="1">
      <c r="A29" s="64"/>
      <c r="B29" s="398"/>
      <c r="C29" s="399"/>
      <c r="D29" s="398"/>
      <c r="E29" s="416"/>
      <c r="F29" s="399"/>
      <c r="G29" s="398"/>
      <c r="H29" s="399"/>
      <c r="I29" s="398"/>
      <c r="J29" s="416"/>
      <c r="K29" s="417"/>
    </row>
    <row r="32" spans="1:18" ht="13.8" thickBot="1"/>
    <row r="33" spans="1:11" ht="12.75" customHeight="1">
      <c r="A33" s="404"/>
      <c r="B33" s="405"/>
      <c r="C33" s="406"/>
      <c r="D33" s="392" t="s">
        <v>79</v>
      </c>
      <c r="E33" s="393"/>
      <c r="F33" s="393"/>
      <c r="G33" s="393"/>
      <c r="H33" s="393"/>
      <c r="I33" s="393"/>
      <c r="J33" s="427" t="s">
        <v>80</v>
      </c>
      <c r="K33" s="112" t="s">
        <v>81</v>
      </c>
    </row>
    <row r="34" spans="1:11" ht="14.25" customHeight="1">
      <c r="A34" s="407"/>
      <c r="B34" s="394"/>
      <c r="C34" s="408"/>
      <c r="D34" s="394"/>
      <c r="E34" s="394"/>
      <c r="F34" s="394"/>
      <c r="G34" s="394"/>
      <c r="H34" s="394"/>
      <c r="I34" s="394"/>
      <c r="J34" s="428"/>
      <c r="K34" s="117">
        <f>(koszty!E7)</f>
        <v>0</v>
      </c>
    </row>
    <row r="35" spans="1:11">
      <c r="A35" s="407"/>
      <c r="B35" s="394"/>
      <c r="C35" s="408"/>
      <c r="D35" s="394"/>
      <c r="E35" s="394"/>
      <c r="F35" s="394"/>
      <c r="G35" s="394"/>
      <c r="H35" s="394"/>
      <c r="I35" s="394"/>
      <c r="J35" s="52" t="s">
        <v>82</v>
      </c>
      <c r="K35" s="113" t="s">
        <v>83</v>
      </c>
    </row>
    <row r="36" spans="1:11" ht="13.8" thickBot="1">
      <c r="A36" s="409"/>
      <c r="B36" s="410"/>
      <c r="C36" s="411"/>
      <c r="D36" s="395"/>
      <c r="E36" s="395"/>
      <c r="F36" s="395"/>
      <c r="G36" s="395"/>
      <c r="H36" s="395"/>
      <c r="I36" s="395"/>
      <c r="J36" s="52" t="s">
        <v>184</v>
      </c>
      <c r="K36" s="114">
        <f ca="1">TODAY()</f>
        <v>44149</v>
      </c>
    </row>
    <row r="37" spans="1:11">
      <c r="A37" s="87"/>
      <c r="B37" s="414" t="s">
        <v>85</v>
      </c>
      <c r="C37" s="415"/>
      <c r="D37" s="58" t="str">
        <f>(koszty!C7)</f>
        <v>20/</v>
      </c>
      <c r="E37" s="59" t="str">
        <f>(koszty!D7)</f>
        <v>09-</v>
      </c>
      <c r="F37" s="204">
        <f>(koszty!E7)</f>
        <v>0</v>
      </c>
      <c r="G37" s="95" t="s">
        <v>95</v>
      </c>
      <c r="H37" s="396" t="e">
        <f>H5</f>
        <v>#REF!</v>
      </c>
      <c r="I37" s="397"/>
      <c r="J37" s="60" t="s">
        <v>84</v>
      </c>
      <c r="K37" s="88"/>
    </row>
    <row r="38" spans="1:11" ht="13.8" thickBot="1">
      <c r="A38" s="64"/>
      <c r="B38" s="97"/>
      <c r="C38" s="97"/>
      <c r="D38" s="418"/>
      <c r="E38" s="418"/>
      <c r="F38" s="418"/>
      <c r="G38" s="97"/>
      <c r="H38" s="97"/>
      <c r="I38" s="97"/>
      <c r="J38" s="98"/>
      <c r="K38" s="99"/>
    </row>
    <row r="39" spans="1:11">
      <c r="A39" s="83"/>
      <c r="B39" s="402" t="s">
        <v>51</v>
      </c>
      <c r="C39" s="403"/>
      <c r="D39" s="419" t="s">
        <v>86</v>
      </c>
      <c r="E39" s="420"/>
      <c r="F39" s="84" t="s">
        <v>87</v>
      </c>
      <c r="G39" s="402" t="s">
        <v>2</v>
      </c>
      <c r="H39" s="403"/>
      <c r="I39" s="84" t="s">
        <v>3</v>
      </c>
      <c r="J39" s="85"/>
      <c r="K39" s="86" t="s">
        <v>88</v>
      </c>
    </row>
    <row r="40" spans="1:11">
      <c r="A40" s="65" t="s">
        <v>4</v>
      </c>
      <c r="B40" s="50" t="e">
        <f t="shared" ref="B40:C55" si="0">(B8)</f>
        <v>#REF!</v>
      </c>
      <c r="C40" s="51" t="e">
        <f t="shared" si="0"/>
        <v>#REF!</v>
      </c>
      <c r="D40" s="66">
        <f t="shared" ref="D40:D59" si="1">SUM(D8)</f>
        <v>0</v>
      </c>
      <c r="E40" s="42" t="e">
        <f>(E8)</f>
        <v>#REF!</v>
      </c>
      <c r="F40" s="4" t="e">
        <f>F8</f>
        <v>#REF!</v>
      </c>
      <c r="G40" s="205" t="e">
        <f>(G8)</f>
        <v>#REF!</v>
      </c>
      <c r="H40" s="51"/>
      <c r="I40" s="53" t="e">
        <f>SUM(I8)</f>
        <v>#REF!</v>
      </c>
      <c r="J40" s="51"/>
      <c r="K40" s="62"/>
    </row>
    <row r="41" spans="1:11">
      <c r="A41" s="65" t="s">
        <v>43</v>
      </c>
      <c r="B41" s="50">
        <f t="shared" si="0"/>
        <v>0</v>
      </c>
      <c r="C41" s="51">
        <f t="shared" si="0"/>
        <v>0</v>
      </c>
      <c r="D41" s="66">
        <f t="shared" si="1"/>
        <v>0</v>
      </c>
      <c r="E41" s="42">
        <f t="shared" ref="E41:E59" si="2">(E9)</f>
        <v>0</v>
      </c>
      <c r="F41" s="4">
        <f t="shared" ref="F41:F59" si="3">F9</f>
        <v>0</v>
      </c>
      <c r="G41" s="205">
        <f>(G9)</f>
        <v>0</v>
      </c>
      <c r="H41" s="51"/>
      <c r="I41" s="53">
        <f t="shared" ref="I41:I59" si="4">SUM(I9)</f>
        <v>0</v>
      </c>
      <c r="J41" s="51"/>
      <c r="K41" s="62"/>
    </row>
    <row r="42" spans="1:11">
      <c r="A42" s="65" t="s">
        <v>44</v>
      </c>
      <c r="B42" s="50">
        <f t="shared" si="0"/>
        <v>0</v>
      </c>
      <c r="C42" s="51">
        <f t="shared" si="0"/>
        <v>0</v>
      </c>
      <c r="D42" s="66">
        <f t="shared" si="1"/>
        <v>0</v>
      </c>
      <c r="E42" s="42">
        <f t="shared" si="2"/>
        <v>0</v>
      </c>
      <c r="F42" s="4">
        <f t="shared" si="3"/>
        <v>0</v>
      </c>
      <c r="G42" s="205">
        <f>(G10)</f>
        <v>0</v>
      </c>
      <c r="H42" s="51"/>
      <c r="I42" s="53">
        <f t="shared" si="4"/>
        <v>0</v>
      </c>
      <c r="J42" s="51"/>
      <c r="K42" s="62"/>
    </row>
    <row r="43" spans="1:11">
      <c r="A43" s="65" t="s">
        <v>45</v>
      </c>
      <c r="B43" s="50">
        <f t="shared" si="0"/>
        <v>0</v>
      </c>
      <c r="C43" s="51">
        <f t="shared" si="0"/>
        <v>0</v>
      </c>
      <c r="D43" s="66">
        <f t="shared" si="1"/>
        <v>0</v>
      </c>
      <c r="E43" s="42">
        <f t="shared" si="2"/>
        <v>0</v>
      </c>
      <c r="F43" s="4">
        <f t="shared" si="3"/>
        <v>0</v>
      </c>
      <c r="G43" s="205">
        <f>(G11)</f>
        <v>0</v>
      </c>
      <c r="H43" s="51"/>
      <c r="I43" s="53">
        <f t="shared" si="4"/>
        <v>0</v>
      </c>
      <c r="J43" s="51"/>
      <c r="K43" s="62"/>
    </row>
    <row r="44" spans="1:11">
      <c r="A44" s="65" t="s">
        <v>46</v>
      </c>
      <c r="B44" s="50">
        <f t="shared" si="0"/>
        <v>0</v>
      </c>
      <c r="C44" s="51">
        <f t="shared" si="0"/>
        <v>0</v>
      </c>
      <c r="D44" s="66">
        <f t="shared" si="1"/>
        <v>0</v>
      </c>
      <c r="E44" s="42">
        <f t="shared" si="2"/>
        <v>0</v>
      </c>
      <c r="F44" s="4">
        <f t="shared" si="3"/>
        <v>0</v>
      </c>
      <c r="G44" s="205">
        <f t="shared" ref="G44:G59" si="5">(G12)</f>
        <v>0</v>
      </c>
      <c r="H44" s="51"/>
      <c r="I44" s="53">
        <f>SUM(I12)</f>
        <v>0</v>
      </c>
      <c r="J44" s="51"/>
      <c r="K44" s="62"/>
    </row>
    <row r="45" spans="1:11">
      <c r="A45" s="65" t="s">
        <v>47</v>
      </c>
      <c r="B45" s="50">
        <f t="shared" si="0"/>
        <v>0</v>
      </c>
      <c r="C45" s="51">
        <f t="shared" si="0"/>
        <v>0</v>
      </c>
      <c r="D45" s="66">
        <f t="shared" si="1"/>
        <v>0</v>
      </c>
      <c r="E45" s="42">
        <f t="shared" si="2"/>
        <v>0</v>
      </c>
      <c r="F45" s="4">
        <f t="shared" si="3"/>
        <v>0</v>
      </c>
      <c r="G45" s="205">
        <f t="shared" si="5"/>
        <v>0</v>
      </c>
      <c r="H45" s="51"/>
      <c r="I45" s="53">
        <f t="shared" si="4"/>
        <v>0</v>
      </c>
      <c r="J45" s="51"/>
      <c r="K45" s="62"/>
    </row>
    <row r="46" spans="1:11">
      <c r="A46" s="65" t="s">
        <v>60</v>
      </c>
      <c r="B46" s="50">
        <f t="shared" si="0"/>
        <v>0</v>
      </c>
      <c r="C46" s="51">
        <f t="shared" si="0"/>
        <v>0</v>
      </c>
      <c r="D46" s="66">
        <f t="shared" si="1"/>
        <v>0</v>
      </c>
      <c r="E46" s="42">
        <f t="shared" si="2"/>
        <v>0</v>
      </c>
      <c r="F46" s="4">
        <f t="shared" si="3"/>
        <v>0</v>
      </c>
      <c r="G46" s="205">
        <f t="shared" si="5"/>
        <v>0</v>
      </c>
      <c r="H46" s="51"/>
      <c r="I46" s="53">
        <f t="shared" si="4"/>
        <v>0</v>
      </c>
      <c r="J46" s="51">
        <f t="shared" ref="J46:J55" si="6">(I14)</f>
        <v>0</v>
      </c>
      <c r="K46" s="62"/>
    </row>
    <row r="47" spans="1:11">
      <c r="A47" s="65" t="s">
        <v>61</v>
      </c>
      <c r="B47" s="50">
        <f t="shared" si="0"/>
        <v>0</v>
      </c>
      <c r="C47" s="51">
        <f t="shared" si="0"/>
        <v>0</v>
      </c>
      <c r="D47" s="66">
        <f t="shared" si="1"/>
        <v>0</v>
      </c>
      <c r="E47" s="42">
        <f t="shared" si="2"/>
        <v>0</v>
      </c>
      <c r="F47" s="4">
        <f t="shared" si="3"/>
        <v>0</v>
      </c>
      <c r="G47" s="205">
        <f t="shared" si="5"/>
        <v>0</v>
      </c>
      <c r="H47" s="51"/>
      <c r="I47" s="53">
        <f t="shared" si="4"/>
        <v>0</v>
      </c>
      <c r="J47" s="51">
        <f t="shared" si="6"/>
        <v>0</v>
      </c>
      <c r="K47" s="62"/>
    </row>
    <row r="48" spans="1:11">
      <c r="A48" s="65" t="s">
        <v>62</v>
      </c>
      <c r="B48" s="50">
        <f t="shared" si="0"/>
        <v>0</v>
      </c>
      <c r="C48" s="51">
        <f t="shared" si="0"/>
        <v>0</v>
      </c>
      <c r="D48" s="66">
        <f t="shared" si="1"/>
        <v>0</v>
      </c>
      <c r="E48" s="42">
        <f t="shared" si="2"/>
        <v>0</v>
      </c>
      <c r="F48" s="4">
        <f t="shared" si="3"/>
        <v>0</v>
      </c>
      <c r="G48" s="205">
        <f t="shared" si="5"/>
        <v>0</v>
      </c>
      <c r="H48" s="51"/>
      <c r="I48" s="53">
        <f t="shared" si="4"/>
        <v>0</v>
      </c>
      <c r="J48" s="51">
        <f t="shared" si="6"/>
        <v>0</v>
      </c>
      <c r="K48" s="62"/>
    </row>
    <row r="49" spans="1:11">
      <c r="A49" s="65" t="s">
        <v>63</v>
      </c>
      <c r="B49" s="50">
        <f t="shared" si="0"/>
        <v>0</v>
      </c>
      <c r="C49" s="51">
        <f t="shared" si="0"/>
        <v>0</v>
      </c>
      <c r="D49" s="66">
        <f t="shared" si="1"/>
        <v>0</v>
      </c>
      <c r="E49" s="42">
        <f t="shared" si="2"/>
        <v>0</v>
      </c>
      <c r="F49" s="4">
        <f t="shared" si="3"/>
        <v>0</v>
      </c>
      <c r="G49" s="205">
        <f t="shared" si="5"/>
        <v>0</v>
      </c>
      <c r="H49" s="51"/>
      <c r="I49" s="53">
        <f t="shared" si="4"/>
        <v>0</v>
      </c>
      <c r="J49" s="51">
        <f t="shared" si="6"/>
        <v>0</v>
      </c>
      <c r="K49" s="62"/>
    </row>
    <row r="50" spans="1:11">
      <c r="A50" s="65" t="s">
        <v>74</v>
      </c>
      <c r="B50" s="50">
        <f t="shared" si="0"/>
        <v>0</v>
      </c>
      <c r="C50" s="51">
        <f t="shared" si="0"/>
        <v>0</v>
      </c>
      <c r="D50" s="66">
        <f t="shared" si="1"/>
        <v>0</v>
      </c>
      <c r="E50" s="42">
        <f t="shared" si="2"/>
        <v>0</v>
      </c>
      <c r="F50" s="4">
        <f t="shared" si="3"/>
        <v>0</v>
      </c>
      <c r="G50" s="205">
        <f t="shared" si="5"/>
        <v>0</v>
      </c>
      <c r="H50" s="51"/>
      <c r="I50" s="53">
        <f t="shared" si="4"/>
        <v>0</v>
      </c>
      <c r="J50" s="51">
        <f t="shared" si="6"/>
        <v>0</v>
      </c>
      <c r="K50" s="62"/>
    </row>
    <row r="51" spans="1:11">
      <c r="A51" s="65" t="s">
        <v>75</v>
      </c>
      <c r="B51" s="50">
        <f t="shared" si="0"/>
        <v>0</v>
      </c>
      <c r="C51" s="51">
        <f t="shared" si="0"/>
        <v>0</v>
      </c>
      <c r="D51" s="66">
        <f t="shared" si="1"/>
        <v>0</v>
      </c>
      <c r="E51" s="42">
        <f t="shared" si="2"/>
        <v>0</v>
      </c>
      <c r="F51" s="4">
        <f t="shared" si="3"/>
        <v>0</v>
      </c>
      <c r="G51" s="205">
        <f t="shared" si="5"/>
        <v>0</v>
      </c>
      <c r="H51" s="51"/>
      <c r="I51" s="53">
        <f t="shared" si="4"/>
        <v>0</v>
      </c>
      <c r="J51" s="51">
        <f t="shared" si="6"/>
        <v>0</v>
      </c>
      <c r="K51" s="62"/>
    </row>
    <row r="52" spans="1:11">
      <c r="A52" s="65" t="s">
        <v>76</v>
      </c>
      <c r="B52" s="50">
        <f t="shared" si="0"/>
        <v>0</v>
      </c>
      <c r="C52" s="51">
        <f t="shared" si="0"/>
        <v>0</v>
      </c>
      <c r="D52" s="66">
        <f t="shared" si="1"/>
        <v>0</v>
      </c>
      <c r="E52" s="42">
        <f t="shared" si="2"/>
        <v>0</v>
      </c>
      <c r="F52" s="4">
        <f t="shared" si="3"/>
        <v>0</v>
      </c>
      <c r="G52" s="205">
        <f t="shared" si="5"/>
        <v>0</v>
      </c>
      <c r="H52" s="51"/>
      <c r="I52" s="53">
        <f t="shared" si="4"/>
        <v>0</v>
      </c>
      <c r="J52" s="51">
        <f t="shared" si="6"/>
        <v>0</v>
      </c>
      <c r="K52" s="62"/>
    </row>
    <row r="53" spans="1:11">
      <c r="A53" s="65" t="s">
        <v>77</v>
      </c>
      <c r="B53" s="50">
        <f t="shared" si="0"/>
        <v>0</v>
      </c>
      <c r="C53" s="51">
        <f t="shared" si="0"/>
        <v>0</v>
      </c>
      <c r="D53" s="66">
        <f t="shared" si="1"/>
        <v>0</v>
      </c>
      <c r="E53" s="42">
        <f t="shared" si="2"/>
        <v>0</v>
      </c>
      <c r="F53" s="4">
        <f t="shared" si="3"/>
        <v>0</v>
      </c>
      <c r="G53" s="205">
        <f t="shared" si="5"/>
        <v>0</v>
      </c>
      <c r="H53" s="51"/>
      <c r="I53" s="53">
        <f t="shared" si="4"/>
        <v>0</v>
      </c>
      <c r="J53" s="51">
        <f t="shared" si="6"/>
        <v>0</v>
      </c>
      <c r="K53" s="62"/>
    </row>
    <row r="54" spans="1:11">
      <c r="A54" s="65" t="s">
        <v>78</v>
      </c>
      <c r="B54" s="50">
        <f t="shared" si="0"/>
        <v>0</v>
      </c>
      <c r="C54" s="51">
        <f t="shared" si="0"/>
        <v>0</v>
      </c>
      <c r="D54" s="66">
        <f t="shared" si="1"/>
        <v>0</v>
      </c>
      <c r="E54" s="42">
        <f t="shared" si="2"/>
        <v>0</v>
      </c>
      <c r="F54" s="4">
        <f t="shared" si="3"/>
        <v>0</v>
      </c>
      <c r="G54" s="205">
        <f t="shared" si="5"/>
        <v>0</v>
      </c>
      <c r="H54" s="51"/>
      <c r="I54" s="53">
        <f t="shared" si="4"/>
        <v>0</v>
      </c>
      <c r="J54" s="51">
        <f t="shared" si="6"/>
        <v>0</v>
      </c>
      <c r="K54" s="62"/>
    </row>
    <row r="55" spans="1:11">
      <c r="A55" s="65" t="s">
        <v>92</v>
      </c>
      <c r="B55" s="50">
        <f t="shared" si="0"/>
        <v>0</v>
      </c>
      <c r="C55" s="51">
        <f t="shared" si="0"/>
        <v>0</v>
      </c>
      <c r="D55" s="66">
        <f t="shared" si="1"/>
        <v>0</v>
      </c>
      <c r="E55" s="42">
        <f t="shared" si="2"/>
        <v>0</v>
      </c>
      <c r="F55" s="4">
        <f t="shared" si="3"/>
        <v>0</v>
      </c>
      <c r="G55" s="205">
        <f t="shared" si="5"/>
        <v>0</v>
      </c>
      <c r="H55" s="51"/>
      <c r="I55" s="53">
        <f t="shared" si="4"/>
        <v>0</v>
      </c>
      <c r="J55" s="51">
        <f t="shared" si="6"/>
        <v>0</v>
      </c>
      <c r="K55" s="62"/>
    </row>
    <row r="56" spans="1:11">
      <c r="A56" s="65" t="s">
        <v>96</v>
      </c>
      <c r="B56" s="50">
        <f t="shared" ref="B56:C59" si="7">(B24)</f>
        <v>0</v>
      </c>
      <c r="C56" s="51">
        <f t="shared" si="7"/>
        <v>0</v>
      </c>
      <c r="D56" s="66">
        <f t="shared" si="1"/>
        <v>0</v>
      </c>
      <c r="E56" s="42">
        <f t="shared" si="2"/>
        <v>0</v>
      </c>
      <c r="F56" s="4">
        <f t="shared" si="3"/>
        <v>0</v>
      </c>
      <c r="G56" s="205">
        <f t="shared" si="5"/>
        <v>0</v>
      </c>
      <c r="H56" s="51"/>
      <c r="I56" s="53">
        <f t="shared" si="4"/>
        <v>0</v>
      </c>
      <c r="J56" s="51">
        <f>(I24)</f>
        <v>0</v>
      </c>
      <c r="K56" s="62"/>
    </row>
    <row r="57" spans="1:11">
      <c r="A57" s="65" t="s">
        <v>97</v>
      </c>
      <c r="B57" s="50">
        <f t="shared" si="7"/>
        <v>0</v>
      </c>
      <c r="C57" s="51">
        <f t="shared" si="7"/>
        <v>0</v>
      </c>
      <c r="D57" s="66">
        <f t="shared" si="1"/>
        <v>0</v>
      </c>
      <c r="E57" s="42">
        <f t="shared" si="2"/>
        <v>0</v>
      </c>
      <c r="F57" s="4">
        <f t="shared" si="3"/>
        <v>0</v>
      </c>
      <c r="G57" s="205">
        <f t="shared" si="5"/>
        <v>0</v>
      </c>
      <c r="H57" s="51"/>
      <c r="I57" s="53">
        <f t="shared" si="4"/>
        <v>0</v>
      </c>
      <c r="J57" s="51">
        <f>(I25)</f>
        <v>0</v>
      </c>
      <c r="K57" s="62"/>
    </row>
    <row r="58" spans="1:11">
      <c r="A58" s="65" t="s">
        <v>117</v>
      </c>
      <c r="B58" s="50">
        <f t="shared" si="7"/>
        <v>0</v>
      </c>
      <c r="C58" s="51">
        <f t="shared" si="7"/>
        <v>0</v>
      </c>
      <c r="D58" s="66">
        <f t="shared" si="1"/>
        <v>0</v>
      </c>
      <c r="E58" s="42">
        <f t="shared" si="2"/>
        <v>0</v>
      </c>
      <c r="F58" s="4">
        <f t="shared" si="3"/>
        <v>0</v>
      </c>
      <c r="G58" s="205">
        <f t="shared" si="5"/>
        <v>0</v>
      </c>
      <c r="H58" s="51"/>
      <c r="I58" s="53">
        <f t="shared" si="4"/>
        <v>0</v>
      </c>
      <c r="J58" s="51">
        <f>(I26)</f>
        <v>0</v>
      </c>
      <c r="K58" s="62"/>
    </row>
    <row r="59" spans="1:11">
      <c r="A59" s="65" t="s">
        <v>118</v>
      </c>
      <c r="B59" s="50">
        <f t="shared" si="7"/>
        <v>0</v>
      </c>
      <c r="C59" s="51">
        <f t="shared" si="7"/>
        <v>0</v>
      </c>
      <c r="D59" s="66">
        <f t="shared" si="1"/>
        <v>0</v>
      </c>
      <c r="E59" s="42">
        <f t="shared" si="2"/>
        <v>0</v>
      </c>
      <c r="F59" s="4">
        <f t="shared" si="3"/>
        <v>0</v>
      </c>
      <c r="G59" s="205">
        <f t="shared" si="5"/>
        <v>0</v>
      </c>
      <c r="H59" s="51"/>
      <c r="I59" s="53">
        <f t="shared" si="4"/>
        <v>0</v>
      </c>
      <c r="J59" s="51">
        <f>(I27)</f>
        <v>0</v>
      </c>
      <c r="K59" s="62"/>
    </row>
    <row r="60" spans="1:11">
      <c r="A60" s="63"/>
      <c r="B60" s="400" t="str">
        <f>(B28)</f>
        <v>Wystawił</v>
      </c>
      <c r="C60" s="401"/>
      <c r="D60" s="421" t="s">
        <v>89</v>
      </c>
      <c r="E60" s="422"/>
      <c r="F60" s="423"/>
      <c r="G60" s="424" t="s">
        <v>90</v>
      </c>
      <c r="H60" s="423"/>
      <c r="I60" s="424" t="s">
        <v>91</v>
      </c>
      <c r="J60" s="425"/>
      <c r="K60" s="426"/>
    </row>
    <row r="61" spans="1:11" ht="24.75" customHeight="1" thickBot="1">
      <c r="A61" s="64"/>
      <c r="B61" s="398"/>
      <c r="C61" s="399"/>
      <c r="D61" s="398"/>
      <c r="E61" s="416"/>
      <c r="F61" s="399"/>
      <c r="G61" s="398"/>
      <c r="H61" s="416"/>
      <c r="I61" s="398"/>
      <c r="J61" s="416"/>
      <c r="K61" s="417"/>
    </row>
  </sheetData>
  <mergeCells count="40">
    <mergeCell ref="J1:J2"/>
    <mergeCell ref="G7:H7"/>
    <mergeCell ref="I28:K28"/>
    <mergeCell ref="J33:J34"/>
    <mergeCell ref="D6:F6"/>
    <mergeCell ref="D28:F28"/>
    <mergeCell ref="I29:K29"/>
    <mergeCell ref="G28:H28"/>
    <mergeCell ref="G29:H29"/>
    <mergeCell ref="D29:F29"/>
    <mergeCell ref="D7:E7"/>
    <mergeCell ref="D34:I34"/>
    <mergeCell ref="D1:I1"/>
    <mergeCell ref="D2:I2"/>
    <mergeCell ref="D3:I3"/>
    <mergeCell ref="D4:I4"/>
    <mergeCell ref="G61:H61"/>
    <mergeCell ref="I61:K61"/>
    <mergeCell ref="D38:F38"/>
    <mergeCell ref="D39:E39"/>
    <mergeCell ref="G39:H39"/>
    <mergeCell ref="D60:F60"/>
    <mergeCell ref="G60:H60"/>
    <mergeCell ref="I60:K60"/>
    <mergeCell ref="D61:F61"/>
    <mergeCell ref="B61:C61"/>
    <mergeCell ref="B60:C60"/>
    <mergeCell ref="B7:C7"/>
    <mergeCell ref="A1:C4"/>
    <mergeCell ref="A33:C36"/>
    <mergeCell ref="B5:C5"/>
    <mergeCell ref="B37:C37"/>
    <mergeCell ref="B39:C39"/>
    <mergeCell ref="B28:C28"/>
    <mergeCell ref="B29:C29"/>
    <mergeCell ref="D33:I33"/>
    <mergeCell ref="D35:I35"/>
    <mergeCell ref="D36:I36"/>
    <mergeCell ref="H5:I5"/>
    <mergeCell ref="H37:I37"/>
  </mergeCells>
  <pageMargins left="0.70866141732283472" right="0.70866141732283472" top="0.11811023622047245" bottom="0.23622047244094491" header="0.11811023622047245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" r:id="rId4" name="Button 1024">
              <controlPr defaultSize="0" print="0" autoFill="0" autoPict="0" macro="[0]!dodajWierszWZ">
                <anchor moveWithCells="1" siz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15</xdr:col>
                    <xdr:colOff>7620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12</vt:i4>
      </vt:variant>
    </vt:vector>
  </HeadingPairs>
  <TitlesOfParts>
    <vt:vector size="20" baseType="lpstr">
      <vt:lpstr>Koszty do zlecenia</vt:lpstr>
      <vt:lpstr>koszty</vt:lpstr>
      <vt:lpstr>laser</vt:lpstr>
      <vt:lpstr>lakierniaRAL</vt:lpstr>
      <vt:lpstr>klient</vt:lpstr>
      <vt:lpstr>POTWIERDZENIE</vt:lpstr>
      <vt:lpstr>zam. do perf.</vt:lpstr>
      <vt:lpstr>wz</vt:lpstr>
      <vt:lpstr>data</vt:lpstr>
      <vt:lpstr>dataZamowienia</vt:lpstr>
      <vt:lpstr>klient</vt:lpstr>
      <vt:lpstr>kom</vt:lpstr>
      <vt:lpstr>komorkaPomocnicza</vt:lpstr>
      <vt:lpstr>komRodzaj</vt:lpstr>
      <vt:lpstr>nrFaktury</vt:lpstr>
      <vt:lpstr>nrZlecenia</vt:lpstr>
      <vt:lpstr>POTWIERDZENIE!Obszar_wydruku</vt:lpstr>
      <vt:lpstr>sumaKosztCiecia</vt:lpstr>
      <vt:lpstr>sumaKosztMat</vt:lpstr>
      <vt:lpstr>zamowienie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Pelle</dc:creator>
  <cp:lastModifiedBy>Hubert Bodek</cp:lastModifiedBy>
  <cp:lastPrinted>2020-09-03T08:55:36Z</cp:lastPrinted>
  <dcterms:created xsi:type="dcterms:W3CDTF">2006-11-14T21:26:25Z</dcterms:created>
  <dcterms:modified xsi:type="dcterms:W3CDTF">2020-11-14T10:45:51Z</dcterms:modified>
</cp:coreProperties>
</file>