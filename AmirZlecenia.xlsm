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filterPrivacy="1" codeName="Ten_skoroszyt"/>
  <xr:revisionPtr revIDLastSave="0" documentId="13_ncr:1_{784772F4-1DA1-417F-9970-1ABB2E984A9C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Oferty2020" sheetId="1" r:id="rId1"/>
    <sheet name="Zamowienia2020" sheetId="2" r:id="rId2"/>
    <sheet name="Oferty2021" sheetId="3" r:id="rId3"/>
    <sheet name="Zamowienia2021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13" i="1"/>
  <c r="B14" i="1"/>
  <c r="B15" i="1"/>
  <c r="B16" i="1"/>
  <c r="B17" i="1"/>
  <c r="B7" i="1"/>
  <c r="B8" i="1"/>
  <c r="B9" i="1"/>
  <c r="B6" i="1" l="1"/>
  <c r="E5" i="1" l="1"/>
  <c r="B5" i="1"/>
  <c r="B4" i="1"/>
  <c r="B3" i="1"/>
</calcChain>
</file>

<file path=xl/sharedStrings.xml><?xml version="1.0" encoding="utf-8"?>
<sst xmlns="http://schemas.openxmlformats.org/spreadsheetml/2006/main" count="390" uniqueCount="211">
  <si>
    <t>NR</t>
  </si>
  <si>
    <t>FIRMA</t>
  </si>
  <si>
    <t>opis zamówienia</t>
  </si>
  <si>
    <t>data zam.</t>
  </si>
  <si>
    <t>termin wykonania</t>
  </si>
  <si>
    <t>faktura nr</t>
  </si>
  <si>
    <t>belgia</t>
  </si>
  <si>
    <t>blacha</t>
  </si>
  <si>
    <t>ggg</t>
  </si>
  <si>
    <t>Oferty</t>
  </si>
  <si>
    <t>najak</t>
  </si>
  <si>
    <t>scib</t>
  </si>
  <si>
    <t>gggg</t>
  </si>
  <si>
    <t>Otwórz folder</t>
  </si>
  <si>
    <t>jakies zamowienie</t>
  </si>
  <si>
    <t>artur</t>
  </si>
  <si>
    <t>wariat</t>
  </si>
  <si>
    <t>bongo</t>
  </si>
  <si>
    <t>benio</t>
  </si>
  <si>
    <t>brachu</t>
  </si>
  <si>
    <t>Marzec Tomek</t>
  </si>
  <si>
    <t>Ds.-Technic</t>
  </si>
  <si>
    <t>Instalatorstwo Sanitarne</t>
  </si>
  <si>
    <t>metaldraft</t>
  </si>
  <si>
    <t>METEC</t>
  </si>
  <si>
    <t>janusz</t>
  </si>
  <si>
    <t>blacha jakas xd</t>
  </si>
  <si>
    <t>14.10.2020</t>
  </si>
  <si>
    <t>nom</t>
  </si>
  <si>
    <t>oferta nr 20/9-16</t>
  </si>
  <si>
    <t>tego typu</t>
  </si>
  <si>
    <t>oferta nr 20/9-17</t>
  </si>
  <si>
    <t>fds</t>
  </si>
  <si>
    <t>oferta nr 20/9-18</t>
  </si>
  <si>
    <t>bgf</t>
  </si>
  <si>
    <t>oferta nr 20/9-19</t>
  </si>
  <si>
    <t>fdsdf</t>
  </si>
  <si>
    <t>oferta nr 20/9-20</t>
  </si>
  <si>
    <t>fddf</t>
  </si>
  <si>
    <t>oferta nr 20/9-21</t>
  </si>
  <si>
    <t>dyng</t>
  </si>
  <si>
    <t>dsf</t>
  </si>
  <si>
    <t>oferta nr 20/9-22</t>
  </si>
  <si>
    <t>lol</t>
  </si>
  <si>
    <t>oferta nr 20/9-23</t>
  </si>
  <si>
    <t>sdf</t>
  </si>
  <si>
    <t>dfs</t>
  </si>
  <si>
    <t>oferta nr 20/09-24</t>
  </si>
  <si>
    <t>oferta nr 20/09-25</t>
  </si>
  <si>
    <t>bg</t>
  </si>
  <si>
    <t>oferta nr 20/09-26</t>
  </si>
  <si>
    <t>oferta nr 20/09-27</t>
  </si>
  <si>
    <t>sfg</t>
  </si>
  <si>
    <t>oferta nr 20/09-28</t>
  </si>
  <si>
    <t>gnuj</t>
  </si>
  <si>
    <t>oferta nr 20/09-29</t>
  </si>
  <si>
    <t>tego</t>
  </si>
  <si>
    <t>mial</t>
  </si>
  <si>
    <t>oferta nr 20/09-30</t>
  </si>
  <si>
    <t>dur</t>
  </si>
  <si>
    <t>bggf</t>
  </si>
  <si>
    <t>24 września 2020</t>
  </si>
  <si>
    <t>25 września 2020</t>
  </si>
  <si>
    <t>oferta nr 20/09-31</t>
  </si>
  <si>
    <t>oferta nr 20/10-32</t>
  </si>
  <si>
    <t>hmm lol</t>
  </si>
  <si>
    <t>12 października 2020</t>
  </si>
  <si>
    <t>15 października 2020</t>
  </si>
  <si>
    <t>oferta nr 20/10-33</t>
  </si>
  <si>
    <t>oferta nr 20/10-34</t>
  </si>
  <si>
    <t>saddas</t>
  </si>
  <si>
    <t>10 października 2020</t>
  </si>
  <si>
    <t>Faktura nr</t>
  </si>
  <si>
    <t>jf</t>
  </si>
  <si>
    <t>zlec.nr 20/01-002</t>
  </si>
  <si>
    <t>nierdzewka pilene</t>
  </si>
  <si>
    <t>FA.8.01.2020</t>
  </si>
  <si>
    <t>zlec.nr 20/01-003</t>
  </si>
  <si>
    <t>2 szt. dennice</t>
  </si>
  <si>
    <t>natalia</t>
  </si>
  <si>
    <t>FA.11.01.2020</t>
  </si>
  <si>
    <t>zlec.nr 20/01-004</t>
  </si>
  <si>
    <t>nierdzewka #2 1250x2500</t>
  </si>
  <si>
    <t>FA.9.01.2020</t>
  </si>
  <si>
    <t>zlec.nr 20/01-005</t>
  </si>
  <si>
    <t>Belgia</t>
  </si>
  <si>
    <t>Klipsy</t>
  </si>
  <si>
    <t>FA.12.01.2020</t>
  </si>
  <si>
    <t>zlec.nr 20/01-006</t>
  </si>
  <si>
    <t>ESSMANN</t>
  </si>
  <si>
    <t>kraty standard</t>
  </si>
  <si>
    <t>zlec.nr 20/01-007</t>
  </si>
  <si>
    <t>MD TRANS</t>
  </si>
  <si>
    <t>balustrady</t>
  </si>
  <si>
    <t>MZ</t>
  </si>
  <si>
    <t>fa.34.02.2020</t>
  </si>
  <si>
    <t>zlec.nr 20/01-008</t>
  </si>
  <si>
    <t xml:space="preserve">Belgia </t>
  </si>
  <si>
    <t xml:space="preserve">kraty zgrzewane </t>
  </si>
  <si>
    <t>FA.27.01.2020</t>
  </si>
  <si>
    <t>zlec.nr 20/10-9</t>
  </si>
  <si>
    <t>tegooxd22</t>
  </si>
  <si>
    <t>zlec.nr 20/10-10</t>
  </si>
  <si>
    <t>xddddd</t>
  </si>
  <si>
    <t>zlec.nr 20/10-11</t>
  </si>
  <si>
    <t>mial tego yy xd</t>
  </si>
  <si>
    <t>oferta nr 20/10-35</t>
  </si>
  <si>
    <t>zlec.nr 20/10-12</t>
  </si>
  <si>
    <t>tegoxddd</t>
  </si>
  <si>
    <t>zlec.nr 20/10-13</t>
  </si>
  <si>
    <t>siemaxddd</t>
  </si>
  <si>
    <t>14 października 2020</t>
  </si>
  <si>
    <t>20 października 2020</t>
  </si>
  <si>
    <t>zlec.nr 20/10-14</t>
  </si>
  <si>
    <t>nauuura</t>
  </si>
  <si>
    <t>oferta nr 20/10-1</t>
  </si>
  <si>
    <t>oferta nr 20/10-2</t>
  </si>
  <si>
    <t>yyyyyxd</t>
  </si>
  <si>
    <t>oferta nr 20/10-36</t>
  </si>
  <si>
    <t>zlec.nr 20/10-1</t>
  </si>
  <si>
    <t>przyklad</t>
  </si>
  <si>
    <t>oferta nr 20/10-37</t>
  </si>
  <si>
    <t>benio blacha</t>
  </si>
  <si>
    <t>zlec.nr 20/10-15</t>
  </si>
  <si>
    <t>oferta nr 20/10-38</t>
  </si>
  <si>
    <t>blacha 1x2</t>
  </si>
  <si>
    <t>oferta nr 20/10-39</t>
  </si>
  <si>
    <t>blaszuniaxd</t>
  </si>
  <si>
    <t>zlec.nr 20/10-16</t>
  </si>
  <si>
    <t>Zamówienie</t>
  </si>
  <si>
    <t>zlec.nr .10-17</t>
  </si>
  <si>
    <t>zlec.nr 20/10-17</t>
  </si>
  <si>
    <t>miallllll</t>
  </si>
  <si>
    <t>oferta nr 20/10-40</t>
  </si>
  <si>
    <t>koniecwkoncuxd</t>
  </si>
  <si>
    <t>zlec.nr 20/10-18</t>
  </si>
  <si>
    <t>oferta nr 20/10-41</t>
  </si>
  <si>
    <t>sdfdsf</t>
  </si>
  <si>
    <t>fsdfdsfds</t>
  </si>
  <si>
    <t>zlec.nr 20/10-19</t>
  </si>
  <si>
    <t>dsfsfdfsd</t>
  </si>
  <si>
    <t>zlec.nr 20/10-20</t>
  </si>
  <si>
    <t>asdasd</t>
  </si>
  <si>
    <t>oferta nr 20/10-3</t>
  </si>
  <si>
    <t>dsffds</t>
  </si>
  <si>
    <t>11 listopada 2020</t>
  </si>
  <si>
    <t>12 listopada 2020</t>
  </si>
  <si>
    <t>oferta nr 20/10-4</t>
  </si>
  <si>
    <t>dfsdfs</t>
  </si>
  <si>
    <t>15 listopada 2020</t>
  </si>
  <si>
    <t>zlec.nr 20/10-2</t>
  </si>
  <si>
    <t>sfdsf</t>
  </si>
  <si>
    <t>zlec.nr 20/10-21</t>
  </si>
  <si>
    <t>fdsdsf</t>
  </si>
  <si>
    <t>zlec.nr 20/10-3</t>
  </si>
  <si>
    <t>dsfdsf</t>
  </si>
  <si>
    <t>fdssf</t>
  </si>
  <si>
    <t>zlec.nr 20/10-22</t>
  </si>
  <si>
    <t>sdsdf</t>
  </si>
  <si>
    <t>sfdfds</t>
  </si>
  <si>
    <t>oferta nr 20/10-42</t>
  </si>
  <si>
    <t>oferta nr 20/10-43</t>
  </si>
  <si>
    <t>gfdg</t>
  </si>
  <si>
    <t>dgfgfd</t>
  </si>
  <si>
    <t>zlec.nr 20/10-4</t>
  </si>
  <si>
    <t>sadasd</t>
  </si>
  <si>
    <t>dsaasd</t>
  </si>
  <si>
    <t>oferta nr 20/10-5</t>
  </si>
  <si>
    <t>sdfsdf</t>
  </si>
  <si>
    <t>sdfsfdsfd</t>
  </si>
  <si>
    <t>oferta nr 20/10-6</t>
  </si>
  <si>
    <t>xxxxxxx</t>
  </si>
  <si>
    <t>xxx</t>
  </si>
  <si>
    <t>zlec.nr 20/10-23</t>
  </si>
  <si>
    <t>vvvvvvv</t>
  </si>
  <si>
    <t>aaaaaa</t>
  </si>
  <si>
    <t>zlec.nr 20/10-24</t>
  </si>
  <si>
    <t>sssss</t>
  </si>
  <si>
    <t>ssss</t>
  </si>
  <si>
    <t>zlec.nr 20/10-25</t>
  </si>
  <si>
    <t>eeee</t>
  </si>
  <si>
    <t>oferta nr 20/10-44</t>
  </si>
  <si>
    <t>qqqqqqqqq</t>
  </si>
  <si>
    <t>qqqqqqqq</t>
  </si>
  <si>
    <t>oferta nr 20/10-45</t>
  </si>
  <si>
    <t>probageneralna</t>
  </si>
  <si>
    <t>25 października 2020</t>
  </si>
  <si>
    <t>8 listopada 2020</t>
  </si>
  <si>
    <t>oferta nr 20/10-7</t>
  </si>
  <si>
    <t>zzzzzzzzzzzzz</t>
  </si>
  <si>
    <t>zzzzzzzzzzz</t>
  </si>
  <si>
    <t>24 października 2020</t>
  </si>
  <si>
    <t>oferta nr 20/10-46</t>
  </si>
  <si>
    <t>iiiiiii</t>
  </si>
  <si>
    <t>iiiiii</t>
  </si>
  <si>
    <t>oferta nr 20/10-47</t>
  </si>
  <si>
    <t>tttttttttt</t>
  </si>
  <si>
    <t>tttttt</t>
  </si>
  <si>
    <t>zlec.nr 20/10-26</t>
  </si>
  <si>
    <t>zlec.nr 20/11-27</t>
  </si>
  <si>
    <t>fdsfds</t>
  </si>
  <si>
    <t>oferta nr 20/11-48</t>
  </si>
  <si>
    <t>xd</t>
  </si>
  <si>
    <t>1 listopada 2020</t>
  </si>
  <si>
    <t>10 listopada 2020</t>
  </si>
  <si>
    <t>zlec.nr 20/11-28</t>
  </si>
  <si>
    <t>oferta nr 20/11-49</t>
  </si>
  <si>
    <t>fdsffds</t>
  </si>
  <si>
    <t>sfdsdf</t>
  </si>
  <si>
    <t>dfssfd</t>
  </si>
  <si>
    <t>zlec.nr 20/11-29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</si>
</sst>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15]d\ mmmm\ yyyy;@"/>
    <numFmt numFmtId="165" formatCode="[$-415]d\ mmmm\ yyyy"/>
    <numFmt numFmtId="166" formatCode="[$-F800]dddd\,\ mmmm\ dd\,\ yyyy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</font>
    <font>
      <b/>
      <sz val="10"/>
      <color indexed="10"/>
      <name val="Czcionka tekstu podstawowego"/>
      <charset val="238"/>
    </font>
    <font>
      <b/>
      <sz val="11"/>
      <color indexed="8"/>
      <name val="Czcionka tekstu podstawowego"/>
      <charset val="238"/>
    </font>
    <font>
      <sz val="11"/>
      <color indexed="8"/>
      <name val="Czcionka tekstu podstawowego"/>
      <charset val="238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ill="1" applyBorder="1"/>
    <xf numFmtId="0" fontId="1" fillId="2" borderId="2" xfId="0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4" fontId="3" fillId="0" borderId="0" xfId="0" applyNumberFormat="1" applyFont="1" applyAlignment="1">
      <alignment horizontal="left"/>
    </xf>
    <xf numFmtId="166" fontId="0" fillId="0" borderId="0" xfId="0" applyNumberFormat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center" wrapText="1"/>
    </xf>
    <xf numFmtId="0" fontId="5" fillId="0" borderId="0" xfId="0" applyFont="1"/>
    <xf numFmtId="166" fontId="0" fillId="0" borderId="0" xfId="0" applyNumberFormat="1" applyAlignment="1">
      <alignment horizontal="center" vertical="center"/>
    </xf>
    <xf numFmtId="166" fontId="0" fillId="5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DDDDDD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62</xdr:row>
          <xdr:rowOff>0</xdr:rowOff>
        </xdr:from>
        <xdr:to>
          <xdr:col>1</xdr:col>
          <xdr:colOff>1021080</xdr:colOff>
          <xdr:row>64</xdr:row>
          <xdr:rowOff>0</xdr:rowOff>
        </xdr:to>
        <xdr:sp macro="" textlink="">
          <xdr:nvSpPr>
            <xdr:cNvPr id="1025" name="btnOfer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58</xdr:row>
          <xdr:rowOff>0</xdr:rowOff>
        </xdr:from>
        <xdr:to>
          <xdr:col>1</xdr:col>
          <xdr:colOff>922020</xdr:colOff>
          <xdr:row>60</xdr:row>
          <xdr:rowOff>152400</xdr:rowOff>
        </xdr:to>
        <xdr:sp macro="" textlink="">
          <xdr:nvSpPr>
            <xdr:cNvPr id="1026" name="btnDodaj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34</xdr:row>
          <xdr:rowOff>76200</xdr:rowOff>
        </xdr:from>
        <xdr:to>
          <xdr:col>1</xdr:col>
          <xdr:colOff>914400</xdr:colOff>
          <xdr:row>37</xdr:row>
          <xdr:rowOff>60960</xdr:rowOff>
        </xdr:to>
        <xdr:sp macro="" textlink="">
          <xdr:nvSpPr>
            <xdr:cNvPr id="2049" name="btnDodajZa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163158</xdr:rowOff>
        </xdr:from>
        <xdr:to>
          <xdr:col>1</xdr:col>
          <xdr:colOff>990600</xdr:colOff>
          <xdr:row>40</xdr:row>
          <xdr:rowOff>37203</xdr:rowOff>
        </xdr:to>
        <xdr:sp macro="" textlink="">
          <xdr:nvSpPr>
            <xdr:cNvPr id="2050" name="btnOfertaZa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13</xdr:row>
          <xdr:rowOff>137160</xdr:rowOff>
        </xdr:from>
        <xdr:to>
          <xdr:col>1</xdr:col>
          <xdr:colOff>1059180</xdr:colOff>
          <xdr:row>15</xdr:row>
          <xdr:rowOff>152400</xdr:rowOff>
        </xdr:to>
        <xdr:sp macro="" textlink="">
          <xdr:nvSpPr>
            <xdr:cNvPr id="3073" name="btnOferta202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9</xdr:row>
          <xdr:rowOff>152400</xdr:rowOff>
        </xdr:from>
        <xdr:to>
          <xdr:col>1</xdr:col>
          <xdr:colOff>975360</xdr:colOff>
          <xdr:row>12</xdr:row>
          <xdr:rowOff>106680</xdr:rowOff>
        </xdr:to>
        <xdr:sp macro="" textlink="">
          <xdr:nvSpPr>
            <xdr:cNvPr id="3074" name="btnDodaj202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22860</xdr:rowOff>
        </xdr:from>
        <xdr:to>
          <xdr:col>1</xdr:col>
          <xdr:colOff>914400</xdr:colOff>
          <xdr:row>11</xdr:row>
          <xdr:rowOff>175260</xdr:rowOff>
        </xdr:to>
        <xdr:sp macro="" textlink="">
          <xdr:nvSpPr>
            <xdr:cNvPr id="4097" name="btnDodajZam202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99060</xdr:rowOff>
        </xdr:from>
        <xdr:to>
          <xdr:col>1</xdr:col>
          <xdr:colOff>990600</xdr:colOff>
          <xdr:row>14</xdr:row>
          <xdr:rowOff>144780</xdr:rowOff>
        </xdr:to>
        <xdr:sp macro="" textlink="">
          <xdr:nvSpPr>
            <xdr:cNvPr id="4098" name="btnOfertaZam202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362"/>
  <sheetViews>
    <sheetView tabSelected="1" topLeftCell="A31" zoomScale="85" zoomScaleNormal="85" workbookViewId="0">
      <selection activeCell="E55" sqref="E55"/>
    </sheetView>
  </sheetViews>
  <sheetFormatPr defaultRowHeight="14.4"/>
  <cols>
    <col min="1" max="1" width="12.33203125" bestFit="1" customWidth="1"/>
    <col min="2" max="2" width="16.33203125" bestFit="1" customWidth="1"/>
    <col min="3" max="3" width="30.6640625" customWidth="1"/>
    <col min="4" max="4" width="51.33203125" customWidth="1"/>
    <col min="5" max="5" width="30.6640625" style="3" customWidth="1"/>
    <col min="7" max="7" width="25.6640625" style="2" customWidth="1"/>
    <col min="8" max="8" width="8.88671875" style="2"/>
    <col min="9" max="9" width="16" customWidth="1"/>
  </cols>
  <sheetData>
    <row r="1" spans="1:9">
      <c r="D1" s="12" t="s">
        <v>9</v>
      </c>
    </row>
    <row r="2" spans="1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1:9">
      <c r="A3" s="5"/>
      <c r="B3" t="str">
        <f ca="1">"oferta nr 20/" &amp; MONTH(TODAY()) &amp; "-" &amp; (ROW(B3)-2)</f>
        <v>oferta nr 20/11-1</v>
      </c>
      <c r="C3" t="s">
        <v>6</v>
      </c>
      <c r="D3" t="s">
        <v>7</v>
      </c>
      <c r="E3" s="13">
        <v>44090</v>
      </c>
      <c r="G3" s="1">
        <v>44104</v>
      </c>
      <c r="H3" s="2" t="s">
        <v>8</v>
      </c>
    </row>
    <row r="4" spans="1:9">
      <c r="A4" s="5"/>
      <c r="B4" t="str">
        <f ca="1">"oferta nr 20/" &amp; MONTH(TODAY()) &amp; "-" &amp; (ROW(B4)-2)</f>
        <v>oferta nr 20/11-2</v>
      </c>
      <c r="C4" t="s">
        <v>10</v>
      </c>
      <c r="D4" t="s">
        <v>11</v>
      </c>
      <c r="E4" s="13">
        <v>44104</v>
      </c>
      <c r="G4" s="1">
        <v>44118</v>
      </c>
      <c r="H4" s="2" t="s">
        <v>12</v>
      </c>
    </row>
    <row r="5" spans="1:9">
      <c r="A5" s="5"/>
      <c r="B5" t="str">
        <f ca="1">"oferta nr 20/" &amp; MONTH(TODAY()) &amp; "-" &amp; (ROW(B5)-2)</f>
        <v>oferta nr 20/11-3</v>
      </c>
      <c r="C5" t="s">
        <v>10</v>
      </c>
      <c r="D5" t="s">
        <v>14</v>
      </c>
      <c r="E5" s="13">
        <f ca="1">TODAY()</f>
        <v>44149</v>
      </c>
      <c r="G5" s="1">
        <v>44124</v>
      </c>
      <c r="H5" s="2" t="s">
        <v>8</v>
      </c>
    </row>
    <row r="6" spans="1:9">
      <c r="A6" s="5"/>
      <c r="B6" t="str">
        <f ca="1">"oferta nr 20/" &amp; MONTH(TODAY()) &amp; "-" &amp; (ROW(B6)-2)</f>
        <v>oferta nr 20/11-4</v>
      </c>
      <c r="C6" t="s">
        <v>15</v>
      </c>
      <c r="E6" s="13"/>
    </row>
    <row r="7" spans="1:9">
      <c r="A7" s="5"/>
      <c r="B7" t="str">
        <f t="shared" ref="B7:B17" ca="1" si="0">"oferta nr 20/" &amp; MONTH(TODAY()) &amp; "-" &amp; (ROW(B7)-2)</f>
        <v>oferta nr 20/11-5</v>
      </c>
      <c r="C7" t="s">
        <v>16</v>
      </c>
      <c r="E7" s="13"/>
    </row>
    <row r="8" spans="1:9">
      <c r="A8" s="5"/>
      <c r="B8" t="str">
        <f t="shared" ca="1" si="0"/>
        <v>oferta nr 20/11-6</v>
      </c>
      <c r="C8" t="s">
        <v>17</v>
      </c>
      <c r="E8" s="13"/>
    </row>
    <row r="9" spans="1:9">
      <c r="A9" s="6"/>
      <c r="B9" t="str">
        <f t="shared" ca="1" si="0"/>
        <v>oferta nr 20/11-7</v>
      </c>
      <c r="C9" t="s">
        <v>18</v>
      </c>
      <c r="E9" s="13"/>
    </row>
    <row r="10" spans="1:9">
      <c r="A10" s="6"/>
      <c r="B10" t="str">
        <f t="shared" ca="1" si="0"/>
        <v>oferta nr 20/11-8</v>
      </c>
      <c r="C10" t="s">
        <v>19</v>
      </c>
      <c r="E10" s="13"/>
    </row>
    <row r="11" spans="1:9">
      <c r="A11" s="6"/>
      <c r="B11" t="str">
        <f t="shared" ca="1" si="0"/>
        <v>oferta nr 20/11-9</v>
      </c>
      <c r="C11" t="s">
        <v>20</v>
      </c>
      <c r="E11" s="13"/>
    </row>
    <row r="12" spans="1:9">
      <c r="A12" s="6"/>
      <c r="B12" t="str">
        <f t="shared" ca="1" si="0"/>
        <v>oferta nr 20/11-10</v>
      </c>
      <c r="C12" t="s">
        <v>21</v>
      </c>
      <c r="E12" s="13"/>
    </row>
    <row r="13" spans="1:9">
      <c r="A13" s="6"/>
      <c r="B13" t="str">
        <f t="shared" ca="1" si="0"/>
        <v>oferta nr 20/11-11</v>
      </c>
      <c r="C13" s="7" t="s">
        <v>22</v>
      </c>
      <c r="E13" s="13"/>
    </row>
    <row r="14" spans="1:9">
      <c r="A14" s="6"/>
      <c r="B14" t="str">
        <f t="shared" ca="1" si="0"/>
        <v>oferta nr 20/11-12</v>
      </c>
      <c r="C14" s="7" t="s">
        <v>23</v>
      </c>
      <c r="E14" s="13"/>
    </row>
    <row r="15" spans="1:9">
      <c r="A15" s="6"/>
      <c r="B15" t="str">
        <f t="shared" ca="1" si="0"/>
        <v>oferta nr 20/11-13</v>
      </c>
      <c r="C15" t="s">
        <v>25</v>
      </c>
      <c r="E15" s="13"/>
    </row>
    <row r="16" spans="1:9">
      <c r="A16" s="6"/>
      <c r="B16" t="str">
        <f t="shared" ca="1" si="0"/>
        <v>oferta nr 20/11-14</v>
      </c>
      <c r="C16" t="s">
        <v>24</v>
      </c>
      <c r="D16" t="s">
        <v>26</v>
      </c>
      <c r="E16" s="13">
        <v>44098</v>
      </c>
      <c r="G16" s="2" t="s">
        <v>27</v>
      </c>
    </row>
    <row r="17" spans="1:7">
      <c r="A17" s="6"/>
      <c r="B17" t="str">
        <f t="shared" ca="1" si="0"/>
        <v>oferta nr 20/11-15</v>
      </c>
      <c r="C17" t="s">
        <v>18</v>
      </c>
      <c r="D17" t="s">
        <v>28</v>
      </c>
      <c r="E17" s="13">
        <v>44099</v>
      </c>
      <c r="G17" s="2" t="s">
        <v>27</v>
      </c>
    </row>
    <row r="18" spans="1:7">
      <c r="A18" s="6"/>
      <c r="B18" t="s">
        <v>29</v>
      </c>
      <c r="C18" t="s">
        <v>18</v>
      </c>
      <c r="D18" t="s">
        <v>30</v>
      </c>
      <c r="E18" s="13">
        <v>44100</v>
      </c>
      <c r="G18" s="2" t="s">
        <v>27</v>
      </c>
    </row>
    <row r="19" spans="1:7">
      <c r="A19" s="6"/>
      <c r="B19" t="s">
        <v>31</v>
      </c>
      <c r="C19" t="s">
        <v>19</v>
      </c>
      <c r="D19" t="s">
        <v>32</v>
      </c>
      <c r="E19" s="13">
        <v>11</v>
      </c>
      <c r="G19" s="2">
        <v>11</v>
      </c>
    </row>
    <row r="20" spans="1:7">
      <c r="A20" s="6"/>
      <c r="B20" t="s">
        <v>33</v>
      </c>
      <c r="C20" t="s">
        <v>18</v>
      </c>
      <c r="D20" t="s">
        <v>34</v>
      </c>
      <c r="E20" s="13">
        <v>11</v>
      </c>
      <c r="G20" s="2">
        <v>11</v>
      </c>
    </row>
    <row r="21" spans="1:7">
      <c r="A21" s="6"/>
      <c r="B21" t="s">
        <v>35</v>
      </c>
      <c r="C21" t="s">
        <v>21</v>
      </c>
      <c r="D21" t="s">
        <v>36</v>
      </c>
      <c r="E21" s="13">
        <v>11</v>
      </c>
      <c r="G21" s="2">
        <v>11</v>
      </c>
    </row>
    <row r="22" spans="1:7">
      <c r="A22" s="6"/>
      <c r="B22" t="s">
        <v>37</v>
      </c>
      <c r="C22" t="s">
        <v>10</v>
      </c>
      <c r="D22" t="s">
        <v>38</v>
      </c>
      <c r="E22" s="13">
        <v>11</v>
      </c>
      <c r="G22" s="2">
        <v>11</v>
      </c>
    </row>
    <row r="23" spans="1:7">
      <c r="A23" s="6"/>
      <c r="B23" t="s">
        <v>39</v>
      </c>
      <c r="C23" t="s">
        <v>40</v>
      </c>
      <c r="D23" t="s">
        <v>41</v>
      </c>
      <c r="E23" s="13">
        <v>11</v>
      </c>
      <c r="G23" s="2">
        <v>1</v>
      </c>
    </row>
    <row r="24" spans="1:7">
      <c r="A24" s="6"/>
      <c r="B24" t="s">
        <v>42</v>
      </c>
      <c r="C24" t="s">
        <v>43</v>
      </c>
      <c r="D24" t="s">
        <v>32</v>
      </c>
      <c r="E24" s="13">
        <v>11</v>
      </c>
      <c r="G24" s="2">
        <v>11</v>
      </c>
    </row>
    <row r="25" spans="1:7">
      <c r="A25" s="6"/>
      <c r="B25" t="s">
        <v>44</v>
      </c>
      <c r="C25" t="s">
        <v>45</v>
      </c>
      <c r="D25" t="s">
        <v>46</v>
      </c>
      <c r="E25" s="13">
        <v>11</v>
      </c>
      <c r="G25" s="2">
        <v>11</v>
      </c>
    </row>
    <row r="26" spans="1:7">
      <c r="A26" s="6"/>
      <c r="B26" t="s">
        <v>47</v>
      </c>
      <c r="C26" t="s">
        <v>41</v>
      </c>
      <c r="D26" t="s">
        <v>45</v>
      </c>
      <c r="E26" s="13">
        <v>11</v>
      </c>
      <c r="G26" s="2">
        <v>11</v>
      </c>
    </row>
    <row r="27" spans="1:7">
      <c r="A27" s="6"/>
      <c r="B27" t="s">
        <v>48</v>
      </c>
      <c r="C27" t="s">
        <v>49</v>
      </c>
      <c r="D27" t="s">
        <v>34</v>
      </c>
      <c r="E27" s="13">
        <v>44098</v>
      </c>
    </row>
    <row r="28" spans="1:7">
      <c r="A28" s="6"/>
      <c r="B28" t="s">
        <v>50</v>
      </c>
      <c r="C28" t="s">
        <v>19</v>
      </c>
      <c r="D28" t="s">
        <v>45</v>
      </c>
      <c r="E28" s="13">
        <v>44098</v>
      </c>
      <c r="G28" s="14">
        <v>44114</v>
      </c>
    </row>
    <row r="29" spans="1:7">
      <c r="A29" s="6"/>
      <c r="B29" t="s">
        <v>51</v>
      </c>
      <c r="C29" t="s">
        <v>24</v>
      </c>
      <c r="D29" t="s">
        <v>52</v>
      </c>
      <c r="E29" s="13"/>
      <c r="G29" s="14"/>
    </row>
    <row r="30" spans="1:7">
      <c r="A30" s="6"/>
      <c r="B30" t="s">
        <v>53</v>
      </c>
      <c r="C30" t="s">
        <v>54</v>
      </c>
      <c r="D30" t="s">
        <v>43</v>
      </c>
      <c r="E30" s="13"/>
      <c r="G30" s="14"/>
    </row>
    <row r="31" spans="1:7">
      <c r="A31" s="6"/>
      <c r="B31" t="s">
        <v>55</v>
      </c>
      <c r="C31" t="s">
        <v>56</v>
      </c>
      <c r="D31" t="s">
        <v>57</v>
      </c>
      <c r="E31" s="13">
        <v>44098</v>
      </c>
      <c r="G31" s="15">
        <v>44099</v>
      </c>
    </row>
    <row r="32" spans="1:7">
      <c r="A32" s="6"/>
      <c r="B32" t="s">
        <v>58</v>
      </c>
      <c r="C32" t="s">
        <v>59</v>
      </c>
      <c r="D32" t="s">
        <v>60</v>
      </c>
      <c r="E32" s="4" t="s">
        <v>61</v>
      </c>
      <c r="G32" s="2" t="s">
        <v>62</v>
      </c>
    </row>
    <row r="33" spans="1:7">
      <c r="A33" s="6"/>
      <c r="B33" t="s">
        <v>63</v>
      </c>
      <c r="C33" t="s">
        <v>56</v>
      </c>
      <c r="D33" t="s">
        <v>57</v>
      </c>
      <c r="E33" s="3" t="s">
        <v>61</v>
      </c>
      <c r="G33" s="2" t="s">
        <v>62</v>
      </c>
    </row>
    <row r="34" spans="1:7">
      <c r="A34" s="8" t="s">
        <v>13</v>
      </c>
      <c r="B34" t="s">
        <v>64</v>
      </c>
      <c r="C34" t="s">
        <v>6</v>
      </c>
      <c r="D34" t="s">
        <v>65</v>
      </c>
      <c r="E34" s="3" t="s">
        <v>66</v>
      </c>
      <c r="G34" s="2" t="s">
        <v>67</v>
      </c>
    </row>
    <row r="35" spans="1:7">
      <c r="A35" s="6"/>
      <c r="B35" t="s">
        <v>68</v>
      </c>
      <c r="C35" t="s">
        <v>18</v>
      </c>
      <c r="D35" t="s">
        <v>56</v>
      </c>
      <c r="E35" s="3" t="s">
        <v>66</v>
      </c>
      <c r="G35" s="2" t="s">
        <v>67</v>
      </c>
    </row>
    <row r="36" spans="1:7">
      <c r="A36" s="6"/>
      <c r="B36" t="s">
        <v>69</v>
      </c>
      <c r="C36" t="s">
        <v>6</v>
      </c>
      <c r="D36" t="s">
        <v>70</v>
      </c>
      <c r="E36" s="3" t="s">
        <v>71</v>
      </c>
      <c r="G36" s="2" t="s">
        <v>66</v>
      </c>
    </row>
    <row r="37" spans="1:7">
      <c r="A37" s="6"/>
      <c r="B37" t="s">
        <v>106</v>
      </c>
      <c r="C37" t="s">
        <v>18</v>
      </c>
      <c r="D37" t="s">
        <v>56</v>
      </c>
      <c r="E37" s="3" t="s">
        <v>71</v>
      </c>
      <c r="G37" s="2" t="s">
        <v>67</v>
      </c>
    </row>
    <row r="38" spans="1:7">
      <c r="A38" s="6"/>
      <c r="B38" t="s">
        <v>118</v>
      </c>
      <c r="C38" t="s">
        <v>6</v>
      </c>
      <c r="D38" t="s">
        <v>7</v>
      </c>
      <c r="E38" s="3" t="s">
        <v>71</v>
      </c>
      <c r="G38" s="2" t="s">
        <v>67</v>
      </c>
    </row>
    <row r="39" spans="1:7">
      <c r="A39" s="6"/>
      <c r="B39" t="s">
        <v>121</v>
      </c>
      <c r="C39" t="s">
        <v>18</v>
      </c>
      <c r="D39" t="s">
        <v>122</v>
      </c>
      <c r="E39" s="3" t="s">
        <v>67</v>
      </c>
      <c r="G39" s="2" t="s">
        <v>112</v>
      </c>
    </row>
    <row r="40" spans="1:7">
      <c r="A40" s="6"/>
      <c r="B40" t="s">
        <v>124</v>
      </c>
      <c r="C40" t="s">
        <v>24</v>
      </c>
      <c r="D40" t="s">
        <v>125</v>
      </c>
      <c r="E40" s="3" t="s">
        <v>67</v>
      </c>
      <c r="G40" s="2" t="s">
        <v>112</v>
      </c>
    </row>
    <row r="41" spans="1:7">
      <c r="B41" t="s">
        <v>126</v>
      </c>
      <c r="C41" t="s">
        <v>24</v>
      </c>
      <c r="D41" t="s">
        <v>127</v>
      </c>
      <c r="E41" s="3" t="s">
        <v>67</v>
      </c>
      <c r="G41" s="2" t="s">
        <v>112</v>
      </c>
    </row>
    <row r="42" spans="1:7">
      <c r="B42" t="s">
        <v>133</v>
      </c>
      <c r="C42" t="s">
        <v>23</v>
      </c>
      <c r="D42" t="s">
        <v>134</v>
      </c>
      <c r="E42" s="3" t="s">
        <v>71</v>
      </c>
      <c r="G42" s="2" t="s">
        <v>112</v>
      </c>
    </row>
    <row r="43" spans="1:7">
      <c r="B43" t="s">
        <v>136</v>
      </c>
      <c r="C43" t="s">
        <v>137</v>
      </c>
      <c r="D43" t="s">
        <v>138</v>
      </c>
      <c r="E43" s="3" t="s">
        <v>71</v>
      </c>
      <c r="G43" s="2" t="s">
        <v>112</v>
      </c>
    </row>
    <row r="44" spans="1:7">
      <c r="B44" t="s">
        <v>160</v>
      </c>
      <c r="C44" t="s">
        <v>18</v>
      </c>
      <c r="D44" t="s">
        <v>144</v>
      </c>
      <c r="E44" s="3" t="s">
        <v>145</v>
      </c>
      <c r="G44" s="2" t="s">
        <v>149</v>
      </c>
    </row>
    <row r="45" spans="1:7">
      <c r="B45" t="s">
        <v>161</v>
      </c>
      <c r="C45" t="s">
        <v>162</v>
      </c>
      <c r="D45" t="s">
        <v>163</v>
      </c>
      <c r="E45" s="3" t="s">
        <v>145</v>
      </c>
      <c r="G45" s="2" t="s">
        <v>149</v>
      </c>
    </row>
    <row r="46" spans="1:7">
      <c r="B46" t="s">
        <v>181</v>
      </c>
      <c r="C46" t="s">
        <v>182</v>
      </c>
      <c r="D46" t="s">
        <v>183</v>
      </c>
      <c r="E46" s="3" t="s">
        <v>145</v>
      </c>
      <c r="G46" s="2" t="s">
        <v>149</v>
      </c>
    </row>
    <row r="47" spans="1:7">
      <c r="B47" t="s">
        <v>184</v>
      </c>
      <c r="C47" t="s">
        <v>185</v>
      </c>
      <c r="D47" t="s">
        <v>185</v>
      </c>
      <c r="E47" s="3" t="s">
        <v>186</v>
      </c>
      <c r="G47" s="2" t="s">
        <v>187</v>
      </c>
    </row>
    <row r="48" spans="1:7">
      <c r="B48" t="s">
        <v>192</v>
      </c>
      <c r="C48" t="s">
        <v>193</v>
      </c>
      <c r="D48" t="s">
        <v>194</v>
      </c>
      <c r="E48" s="3" t="s">
        <v>71</v>
      </c>
      <c r="G48" s="2" t="s">
        <v>67</v>
      </c>
    </row>
    <row r="49" spans="2:7">
      <c r="B49" t="s">
        <v>195</v>
      </c>
      <c r="C49" t="s">
        <v>196</v>
      </c>
      <c r="D49" t="s">
        <v>197</v>
      </c>
      <c r="E49" s="3" t="s">
        <v>145</v>
      </c>
      <c r="G49" s="2" t="s">
        <v>149</v>
      </c>
    </row>
    <row r="50" spans="2:7">
      <c r="B50" t="s">
        <v>201</v>
      </c>
      <c r="C50" t="s">
        <v>202</v>
      </c>
      <c r="D50" t="s">
        <v>202</v>
      </c>
      <c r="E50" s="3" t="s">
        <v>203</v>
      </c>
      <c r="G50" s="2" t="s">
        <v>204</v>
      </c>
    </row>
    <row r="51" spans="2:7">
      <c r="B51" t="s">
        <v>206</v>
      </c>
      <c r="C51" t="s">
        <v>207</v>
      </c>
      <c r="D51" t="s">
        <v>208</v>
      </c>
      <c r="E51" s="3" t="s">
        <v>209</v>
      </c>
      <c r="G51" s="2" t="s">
        <v>41</v>
      </c>
    </row>
    <row r="362" spans="1:1">
      <c r="A362" s="7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tnOferta">
          <controlPr defaultSize="0" autoLine="0" altText="" r:id="rId5">
            <anchor moveWithCells="1">
              <from>
                <xdr:col>1</xdr:col>
                <xdr:colOff>30480</xdr:colOff>
                <xdr:row>62</xdr:row>
                <xdr:rowOff>0</xdr:rowOff>
              </from>
              <to>
                <xdr:col>1</xdr:col>
                <xdr:colOff>1021080</xdr:colOff>
                <xdr:row>64</xdr:row>
                <xdr:rowOff>0</xdr:rowOff>
              </to>
            </anchor>
          </controlPr>
        </control>
      </mc:Choice>
      <mc:Fallback>
        <control shapeId="1025" r:id="rId4" name="btnOferta"/>
      </mc:Fallback>
    </mc:AlternateContent>
    <mc:AlternateContent xmlns:mc="http://schemas.openxmlformats.org/markup-compatibility/2006">
      <mc:Choice Requires="x14">
        <control shapeId="1026" r:id="rId6" name="btnDodaj">
          <controlPr defaultSize="0" autoLine="0" r:id="rId7">
            <anchor moveWithCells="1">
              <from>
                <xdr:col>1</xdr:col>
                <xdr:colOff>83820</xdr:colOff>
                <xdr:row>58</xdr:row>
                <xdr:rowOff>0</xdr:rowOff>
              </from>
              <to>
                <xdr:col>1</xdr:col>
                <xdr:colOff>922020</xdr:colOff>
                <xdr:row>60</xdr:row>
                <xdr:rowOff>152400</xdr:rowOff>
              </to>
            </anchor>
          </controlPr>
        </control>
      </mc:Choice>
      <mc:Fallback>
        <control shapeId="1026" r:id="rId6" name="btnDodaj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95A09-D82E-4288-BC2A-ACD3FCAD7A00}">
  <sheetPr codeName="Arkusz2"/>
  <dimension ref="A1:I31"/>
  <sheetViews>
    <sheetView topLeftCell="A4" zoomScale="85" zoomScaleNormal="85" workbookViewId="0">
      <selection activeCell="C29" sqref="C29"/>
    </sheetView>
  </sheetViews>
  <sheetFormatPr defaultRowHeight="14.4"/>
  <cols>
    <col min="1" max="1" width="14.6640625" customWidth="1"/>
    <col min="2" max="2" width="16.33203125" bestFit="1" customWidth="1"/>
    <col min="3" max="3" width="29" customWidth="1"/>
    <col min="4" max="4" width="49" customWidth="1"/>
    <col min="5" max="5" width="30.44140625" customWidth="1"/>
    <col min="7" max="7" width="25.44140625" customWidth="1"/>
    <col min="8" max="8" width="7.88671875" customWidth="1"/>
    <col min="9" max="9" width="17.33203125" customWidth="1"/>
  </cols>
  <sheetData>
    <row r="1" spans="1:9">
      <c r="B1" t="s">
        <v>129</v>
      </c>
      <c r="D1" s="16">
        <v>43994</v>
      </c>
      <c r="E1" s="17"/>
      <c r="G1" s="17"/>
    </row>
    <row r="2" spans="1:9">
      <c r="B2" s="18" t="s">
        <v>0</v>
      </c>
      <c r="C2" s="18" t="s">
        <v>130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B3" t="s">
        <v>119</v>
      </c>
      <c r="C3" t="s">
        <v>189</v>
      </c>
      <c r="D3" s="22" t="s">
        <v>190</v>
      </c>
      <c r="E3" s="23" t="s">
        <v>191</v>
      </c>
      <c r="G3" s="24"/>
      <c r="H3" t="s">
        <v>73</v>
      </c>
    </row>
    <row r="4" spans="1:9">
      <c r="A4" s="6"/>
      <c r="B4" t="s">
        <v>74</v>
      </c>
      <c r="C4" t="s">
        <v>21</v>
      </c>
      <c r="D4" t="s">
        <v>75</v>
      </c>
      <c r="E4" s="23">
        <v>43833</v>
      </c>
      <c r="H4" t="s">
        <v>73</v>
      </c>
      <c r="I4" t="s">
        <v>76</v>
      </c>
    </row>
    <row r="5" spans="1:9">
      <c r="B5" t="s">
        <v>77</v>
      </c>
      <c r="C5" s="7" t="s">
        <v>22</v>
      </c>
      <c r="D5" t="s">
        <v>78</v>
      </c>
      <c r="E5" s="23">
        <v>43833</v>
      </c>
      <c r="H5" t="s">
        <v>79</v>
      </c>
      <c r="I5" t="s">
        <v>80</v>
      </c>
    </row>
    <row r="6" spans="1:9">
      <c r="B6" t="s">
        <v>81</v>
      </c>
      <c r="C6" s="7" t="s">
        <v>23</v>
      </c>
      <c r="D6" t="s">
        <v>82</v>
      </c>
      <c r="E6" s="23">
        <v>43837</v>
      </c>
      <c r="H6" s="7" t="s">
        <v>73</v>
      </c>
      <c r="I6" t="s">
        <v>83</v>
      </c>
    </row>
    <row r="7" spans="1:9">
      <c r="A7" s="6"/>
      <c r="B7" t="s">
        <v>84</v>
      </c>
      <c r="C7" s="7" t="s">
        <v>85</v>
      </c>
      <c r="D7" s="7" t="s">
        <v>86</v>
      </c>
      <c r="E7" s="23">
        <v>43838</v>
      </c>
      <c r="H7" s="7" t="s">
        <v>73</v>
      </c>
      <c r="I7" s="7" t="s">
        <v>87</v>
      </c>
    </row>
    <row r="8" spans="1:9">
      <c r="A8" s="6"/>
      <c r="B8" t="s">
        <v>88</v>
      </c>
      <c r="C8" s="7" t="s">
        <v>89</v>
      </c>
      <c r="D8" s="7" t="s">
        <v>90</v>
      </c>
      <c r="E8" s="23"/>
      <c r="H8" s="7" t="s">
        <v>8</v>
      </c>
    </row>
    <row r="9" spans="1:9">
      <c r="B9" t="s">
        <v>91</v>
      </c>
      <c r="C9" s="7" t="s">
        <v>92</v>
      </c>
      <c r="D9" s="7" t="s">
        <v>93</v>
      </c>
      <c r="E9" s="23"/>
      <c r="H9" s="7" t="s">
        <v>94</v>
      </c>
      <c r="I9" t="s">
        <v>95</v>
      </c>
    </row>
    <row r="10" spans="1:9">
      <c r="A10" s="6"/>
      <c r="B10" t="s">
        <v>96</v>
      </c>
      <c r="C10" t="s">
        <v>97</v>
      </c>
      <c r="D10" t="s">
        <v>98</v>
      </c>
      <c r="E10" s="17"/>
      <c r="H10" t="s">
        <v>8</v>
      </c>
      <c r="I10" t="s">
        <v>99</v>
      </c>
    </row>
    <row r="11" spans="1:9">
      <c r="B11" t="s">
        <v>100</v>
      </c>
      <c r="C11" t="s">
        <v>85</v>
      </c>
      <c r="D11" t="s">
        <v>101</v>
      </c>
      <c r="E11" t="s">
        <v>71</v>
      </c>
      <c r="G11" t="s">
        <v>67</v>
      </c>
    </row>
    <row r="12" spans="1:9">
      <c r="A12" s="6"/>
      <c r="B12" t="s">
        <v>102</v>
      </c>
      <c r="C12" t="s">
        <v>85</v>
      </c>
      <c r="D12" t="s">
        <v>103</v>
      </c>
      <c r="E12" t="s">
        <v>71</v>
      </c>
      <c r="G12" t="s">
        <v>67</v>
      </c>
    </row>
    <row r="13" spans="1:9">
      <c r="A13" s="6"/>
      <c r="B13" t="s">
        <v>104</v>
      </c>
      <c r="C13" t="s">
        <v>89</v>
      </c>
      <c r="D13" t="s">
        <v>105</v>
      </c>
      <c r="E13" t="s">
        <v>71</v>
      </c>
      <c r="G13" t="s">
        <v>67</v>
      </c>
    </row>
    <row r="14" spans="1:9">
      <c r="A14" s="6"/>
      <c r="B14" t="s">
        <v>107</v>
      </c>
      <c r="C14" t="s">
        <v>85</v>
      </c>
      <c r="D14" t="s">
        <v>108</v>
      </c>
      <c r="E14" t="s">
        <v>71</v>
      </c>
      <c r="G14" t="s">
        <v>67</v>
      </c>
    </row>
    <row r="15" spans="1:9">
      <c r="A15" s="6"/>
      <c r="B15" t="s">
        <v>109</v>
      </c>
      <c r="C15" t="s">
        <v>85</v>
      </c>
      <c r="D15" t="s">
        <v>110</v>
      </c>
      <c r="E15" t="s">
        <v>111</v>
      </c>
      <c r="G15" t="s">
        <v>112</v>
      </c>
    </row>
    <row r="16" spans="1:9">
      <c r="A16" s="6"/>
      <c r="B16" t="s">
        <v>113</v>
      </c>
      <c r="C16" t="s">
        <v>6</v>
      </c>
      <c r="D16" t="s">
        <v>114</v>
      </c>
      <c r="E16" t="s">
        <v>67</v>
      </c>
      <c r="G16" t="s">
        <v>112</v>
      </c>
    </row>
    <row r="17" spans="1:7">
      <c r="A17" s="6"/>
      <c r="B17" t="s">
        <v>123</v>
      </c>
      <c r="C17" t="s">
        <v>18</v>
      </c>
      <c r="D17" t="s">
        <v>122</v>
      </c>
      <c r="E17" t="s">
        <v>67</v>
      </c>
    </row>
    <row r="18" spans="1:7">
      <c r="A18" s="8" t="s">
        <v>13</v>
      </c>
      <c r="B18" t="s">
        <v>128</v>
      </c>
      <c r="C18" t="s">
        <v>24</v>
      </c>
      <c r="D18" t="s">
        <v>127</v>
      </c>
      <c r="E18" t="s">
        <v>67</v>
      </c>
    </row>
    <row r="19" spans="1:7">
      <c r="B19" t="s">
        <v>131</v>
      </c>
      <c r="C19" t="s">
        <v>24</v>
      </c>
      <c r="D19" t="s">
        <v>132</v>
      </c>
      <c r="E19" t="s">
        <v>67</v>
      </c>
    </row>
    <row r="20" spans="1:7">
      <c r="B20" t="s">
        <v>135</v>
      </c>
      <c r="C20" t="s">
        <v>23</v>
      </c>
      <c r="D20" t="s">
        <v>134</v>
      </c>
      <c r="E20" t="s">
        <v>71</v>
      </c>
    </row>
    <row r="21" spans="1:7">
      <c r="B21" t="s">
        <v>139</v>
      </c>
      <c r="C21" t="s">
        <v>85</v>
      </c>
      <c r="D21" t="s">
        <v>140</v>
      </c>
      <c r="E21" t="s">
        <v>71</v>
      </c>
      <c r="G21" t="s">
        <v>112</v>
      </c>
    </row>
    <row r="22" spans="1:7">
      <c r="B22" t="s">
        <v>141</v>
      </c>
      <c r="C22" t="s">
        <v>85</v>
      </c>
      <c r="D22" t="s">
        <v>142</v>
      </c>
      <c r="E22" t="s">
        <v>71</v>
      </c>
      <c r="G22" t="s">
        <v>71</v>
      </c>
    </row>
    <row r="23" spans="1:7">
      <c r="B23" t="s">
        <v>152</v>
      </c>
      <c r="C23" t="s">
        <v>153</v>
      </c>
      <c r="D23" t="s">
        <v>144</v>
      </c>
      <c r="E23" t="s">
        <v>145</v>
      </c>
      <c r="G23" t="s">
        <v>149</v>
      </c>
    </row>
    <row r="24" spans="1:7">
      <c r="B24" t="s">
        <v>157</v>
      </c>
      <c r="C24" t="s">
        <v>158</v>
      </c>
      <c r="D24" t="s">
        <v>159</v>
      </c>
      <c r="E24" t="s">
        <v>145</v>
      </c>
      <c r="G24" t="s">
        <v>149</v>
      </c>
    </row>
    <row r="25" spans="1:7">
      <c r="B25" t="s">
        <v>173</v>
      </c>
      <c r="C25" t="s">
        <v>174</v>
      </c>
      <c r="D25" t="s">
        <v>175</v>
      </c>
      <c r="E25" t="s">
        <v>145</v>
      </c>
      <c r="G25" t="s">
        <v>149</v>
      </c>
    </row>
    <row r="26" spans="1:7">
      <c r="B26" t="s">
        <v>176</v>
      </c>
      <c r="C26" t="s">
        <v>177</v>
      </c>
      <c r="D26" t="s">
        <v>178</v>
      </c>
      <c r="E26" t="s">
        <v>145</v>
      </c>
      <c r="G26" t="s">
        <v>145</v>
      </c>
    </row>
    <row r="27" spans="1:7">
      <c r="B27" t="s">
        <v>179</v>
      </c>
      <c r="C27" t="s">
        <v>180</v>
      </c>
      <c r="D27" t="s">
        <v>180</v>
      </c>
      <c r="E27" t="s">
        <v>145</v>
      </c>
      <c r="G27" t="s">
        <v>149</v>
      </c>
    </row>
    <row r="28" spans="1:7">
      <c r="B28" t="s">
        <v>198</v>
      </c>
      <c r="C28" t="s">
        <v>196</v>
      </c>
      <c r="D28" t="s">
        <v>197</v>
      </c>
      <c r="E28" t="s">
        <v>145</v>
      </c>
    </row>
    <row r="29" spans="1:7">
      <c r="B29" t="s">
        <v>199</v>
      </c>
      <c r="C29" t="s">
        <v>54</v>
      </c>
      <c r="D29" t="s">
        <v>200</v>
      </c>
      <c r="E29" t="s">
        <v>71</v>
      </c>
      <c r="G29" t="s">
        <v>67</v>
      </c>
    </row>
    <row r="30" spans="1:7">
      <c r="B30" t="s">
        <v>205</v>
      </c>
      <c r="C30" t="s">
        <v>202</v>
      </c>
      <c r="D30" t="s">
        <v>202</v>
      </c>
      <c r="E30" t="s">
        <v>203</v>
      </c>
    </row>
    <row r="31" spans="1:7">
      <c r="B31" t="s">
        <v>210</v>
      </c>
      <c r="C31" t="s">
        <v>207</v>
      </c>
      <c r="D31" t="s">
        <v>208</v>
      </c>
      <c r="E31" t="s">
        <v>209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btnOfertaZam">
          <controlPr defaultSize="0" autoLine="0" altText="" r:id="rId4">
            <anchor moveWithCells="1">
              <from>
                <xdr:col>1</xdr:col>
                <xdr:colOff>0</xdr:colOff>
                <xdr:row>37</xdr:row>
                <xdr:rowOff>160020</xdr:rowOff>
              </from>
              <to>
                <xdr:col>1</xdr:col>
                <xdr:colOff>990600</xdr:colOff>
                <xdr:row>40</xdr:row>
                <xdr:rowOff>38100</xdr:rowOff>
              </to>
            </anchor>
          </controlPr>
        </control>
      </mc:Choice>
      <mc:Fallback>
        <control shapeId="2050" r:id="rId3" name="btnOfertaZam"/>
      </mc:Fallback>
    </mc:AlternateContent>
    <mc:AlternateContent xmlns:mc="http://schemas.openxmlformats.org/markup-compatibility/2006">
      <mc:Choice Requires="x14">
        <control shapeId="2049" r:id="rId5" name="btnDodajZam">
          <controlPr defaultSize="0" autoLine="0" r:id="rId6">
            <anchor moveWithCells="1">
              <from>
                <xdr:col>1</xdr:col>
                <xdr:colOff>76200</xdr:colOff>
                <xdr:row>34</xdr:row>
                <xdr:rowOff>76200</xdr:rowOff>
              </from>
              <to>
                <xdr:col>1</xdr:col>
                <xdr:colOff>914400</xdr:colOff>
                <xdr:row>37</xdr:row>
                <xdr:rowOff>60960</xdr:rowOff>
              </to>
            </anchor>
          </controlPr>
        </control>
      </mc:Choice>
      <mc:Fallback>
        <control shapeId="2049" r:id="rId5" name="btnDodajZa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C77C-3495-4196-91F5-43CAFB611ED6}">
  <sheetPr codeName="Arkusz3"/>
  <dimension ref="B1:I9"/>
  <sheetViews>
    <sheetView zoomScale="85" zoomScaleNormal="85" workbookViewId="0">
      <selection activeCell="C46" sqref="C46"/>
    </sheetView>
  </sheetViews>
  <sheetFormatPr defaultRowHeight="14.4"/>
  <cols>
    <col min="1" max="1" width="12.33203125" bestFit="1" customWidth="1"/>
    <col min="2" max="2" width="16.33203125" bestFit="1" customWidth="1"/>
    <col min="3" max="3" width="30.6640625" customWidth="1"/>
    <col min="4" max="4" width="51.33203125" customWidth="1"/>
    <col min="5" max="5" width="30.6640625" customWidth="1"/>
    <col min="7" max="7" width="25.6640625" customWidth="1"/>
    <col min="9" max="9" width="16" customWidth="1"/>
  </cols>
  <sheetData>
    <row r="1" spans="2:9">
      <c r="D1" s="12" t="s">
        <v>9</v>
      </c>
      <c r="E1" s="3"/>
      <c r="G1" s="2"/>
      <c r="H1" s="2"/>
    </row>
    <row r="2" spans="2:9">
      <c r="B2" s="9" t="s">
        <v>0</v>
      </c>
      <c r="C2" s="9" t="s">
        <v>1</v>
      </c>
      <c r="D2" s="9" t="s">
        <v>2</v>
      </c>
      <c r="E2" s="10" t="s">
        <v>3</v>
      </c>
      <c r="F2" s="9"/>
      <c r="G2" s="11" t="s">
        <v>4</v>
      </c>
      <c r="H2" s="11"/>
      <c r="I2" s="11" t="s">
        <v>5</v>
      </c>
    </row>
    <row r="3" spans="2:9">
      <c r="B3" t="s">
        <v>115</v>
      </c>
      <c r="C3" t="s">
        <v>6</v>
      </c>
      <c r="D3" t="s">
        <v>56</v>
      </c>
      <c r="E3" t="s">
        <v>71</v>
      </c>
      <c r="G3" t="s">
        <v>67</v>
      </c>
    </row>
    <row r="4" spans="2:9">
      <c r="B4" t="s">
        <v>116</v>
      </c>
      <c r="C4" t="s">
        <v>6</v>
      </c>
      <c r="D4" t="s">
        <v>117</v>
      </c>
      <c r="E4" t="s">
        <v>66</v>
      </c>
      <c r="G4" t="s">
        <v>112</v>
      </c>
    </row>
    <row r="5" spans="2:9">
      <c r="B5" t="s">
        <v>143</v>
      </c>
      <c r="C5" t="s">
        <v>144</v>
      </c>
      <c r="D5" t="s">
        <v>144</v>
      </c>
      <c r="E5" t="s">
        <v>145</v>
      </c>
      <c r="G5" t="s">
        <v>146</v>
      </c>
    </row>
    <row r="6" spans="2:9">
      <c r="B6" t="s">
        <v>147</v>
      </c>
      <c r="C6" t="s">
        <v>41</v>
      </c>
      <c r="D6" t="s">
        <v>148</v>
      </c>
      <c r="E6" t="s">
        <v>145</v>
      </c>
      <c r="G6" t="s">
        <v>149</v>
      </c>
    </row>
    <row r="7" spans="2:9">
      <c r="B7" t="s">
        <v>167</v>
      </c>
      <c r="C7" t="s">
        <v>168</v>
      </c>
      <c r="D7" t="s">
        <v>169</v>
      </c>
      <c r="E7" t="s">
        <v>145</v>
      </c>
      <c r="G7" t="s">
        <v>149</v>
      </c>
    </row>
    <row r="8" spans="2:9">
      <c r="B8" t="s">
        <v>170</v>
      </c>
      <c r="C8" t="s">
        <v>171</v>
      </c>
      <c r="D8" t="s">
        <v>172</v>
      </c>
      <c r="E8" t="s">
        <v>149</v>
      </c>
      <c r="G8" t="s">
        <v>149</v>
      </c>
    </row>
    <row r="9" spans="2:9">
      <c r="B9" t="s">
        <v>188</v>
      </c>
      <c r="C9" t="s">
        <v>189</v>
      </c>
      <c r="D9" t="s">
        <v>190</v>
      </c>
      <c r="E9" t="s">
        <v>191</v>
      </c>
      <c r="G9" t="s">
        <v>187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Oferta2021">
          <controlPr defaultSize="0" autoLine="0" altText="" r:id="rId4">
            <anchor moveWithCells="1">
              <from>
                <xdr:col>1</xdr:col>
                <xdr:colOff>68580</xdr:colOff>
                <xdr:row>13</xdr:row>
                <xdr:rowOff>137160</xdr:rowOff>
              </from>
              <to>
                <xdr:col>1</xdr:col>
                <xdr:colOff>1059180</xdr:colOff>
                <xdr:row>15</xdr:row>
                <xdr:rowOff>152400</xdr:rowOff>
              </to>
            </anchor>
          </controlPr>
        </control>
      </mc:Choice>
      <mc:Fallback>
        <control shapeId="3073" r:id="rId3" name="btnOferta2021"/>
      </mc:Fallback>
    </mc:AlternateContent>
    <mc:AlternateContent xmlns:mc="http://schemas.openxmlformats.org/markup-compatibility/2006">
      <mc:Choice Requires="x14">
        <control shapeId="3074" r:id="rId5" name="btnDodaj2021">
          <controlPr defaultSize="0" autoLine="0" r:id="rId6">
            <anchor moveWithCells="1">
              <from>
                <xdr:col>1</xdr:col>
                <xdr:colOff>137160</xdr:colOff>
                <xdr:row>9</xdr:row>
                <xdr:rowOff>152400</xdr:rowOff>
              </from>
              <to>
                <xdr:col>1</xdr:col>
                <xdr:colOff>975360</xdr:colOff>
                <xdr:row>12</xdr:row>
                <xdr:rowOff>106680</xdr:rowOff>
              </to>
            </anchor>
          </controlPr>
        </control>
      </mc:Choice>
      <mc:Fallback>
        <control shapeId="3074" r:id="rId5" name="btnDodaj20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784-2B0A-4E29-BC56-318113047E45}">
  <sheetPr codeName="Arkusz4"/>
  <dimension ref="A1:I6"/>
  <sheetViews>
    <sheetView zoomScale="85" zoomScaleNormal="85" workbookViewId="0">
      <selection activeCell="D23" sqref="D23"/>
    </sheetView>
  </sheetViews>
  <sheetFormatPr defaultRowHeight="14.4"/>
  <cols>
    <col min="1" max="1" width="14.6640625" customWidth="1"/>
    <col min="2" max="2" width="16.33203125" bestFit="1" customWidth="1"/>
    <col min="3" max="3" width="29" customWidth="1"/>
    <col min="4" max="4" width="49" customWidth="1"/>
    <col min="5" max="5" width="30.44140625" customWidth="1"/>
    <col min="7" max="7" width="25.44140625" customWidth="1"/>
    <col min="8" max="8" width="7.88671875" customWidth="1"/>
    <col min="9" max="9" width="17.33203125" customWidth="1"/>
  </cols>
  <sheetData>
    <row r="1" spans="1:9">
      <c r="D1" s="16">
        <v>43994</v>
      </c>
      <c r="E1" s="17"/>
      <c r="G1" s="17"/>
    </row>
    <row r="2" spans="1:9">
      <c r="B2" s="18" t="s">
        <v>0</v>
      </c>
      <c r="C2" s="18" t="s">
        <v>1</v>
      </c>
      <c r="D2" s="18" t="s">
        <v>2</v>
      </c>
      <c r="E2" s="19" t="s">
        <v>3</v>
      </c>
      <c r="F2" s="18"/>
      <c r="G2" s="19" t="s">
        <v>4</v>
      </c>
      <c r="H2" s="20"/>
      <c r="I2" s="21" t="s">
        <v>72</v>
      </c>
    </row>
    <row r="3" spans="1:9">
      <c r="A3" s="8" t="s">
        <v>13</v>
      </c>
      <c r="B3" t="s">
        <v>119</v>
      </c>
      <c r="C3" t="s">
        <v>6</v>
      </c>
      <c r="D3" t="s">
        <v>120</v>
      </c>
      <c r="E3" t="s">
        <v>71</v>
      </c>
      <c r="G3" t="s">
        <v>67</v>
      </c>
    </row>
    <row r="4" spans="1:9">
      <c r="B4" t="s">
        <v>150</v>
      </c>
      <c r="C4" t="s">
        <v>137</v>
      </c>
      <c r="D4" t="s">
        <v>151</v>
      </c>
      <c r="E4" t="s">
        <v>145</v>
      </c>
      <c r="G4" t="s">
        <v>149</v>
      </c>
    </row>
    <row r="5" spans="1:9">
      <c r="B5" t="s">
        <v>154</v>
      </c>
      <c r="C5" t="s">
        <v>155</v>
      </c>
      <c r="D5" t="s">
        <v>156</v>
      </c>
      <c r="E5" t="s">
        <v>145</v>
      </c>
      <c r="G5" t="s">
        <v>149</v>
      </c>
    </row>
    <row r="6" spans="1:9">
      <c r="B6" t="s">
        <v>164</v>
      </c>
      <c r="C6" t="s">
        <v>165</v>
      </c>
      <c r="D6" t="s">
        <v>166</v>
      </c>
      <c r="E6" t="s">
        <v>145</v>
      </c>
      <c r="G6" t="s">
        <v>149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btnDodajZam2021">
          <controlPr defaultSize="0" autoLine="0" r:id="rId4">
            <anchor moveWithCells="1">
              <from>
                <xdr:col>1</xdr:col>
                <xdr:colOff>76200</xdr:colOff>
                <xdr:row>9</xdr:row>
                <xdr:rowOff>22860</xdr:rowOff>
              </from>
              <to>
                <xdr:col>1</xdr:col>
                <xdr:colOff>914400</xdr:colOff>
                <xdr:row>11</xdr:row>
                <xdr:rowOff>175260</xdr:rowOff>
              </to>
            </anchor>
          </controlPr>
        </control>
      </mc:Choice>
      <mc:Fallback>
        <control shapeId="4097" r:id="rId3" name="btnDodajZam2021"/>
      </mc:Fallback>
    </mc:AlternateContent>
    <mc:AlternateContent xmlns:mc="http://schemas.openxmlformats.org/markup-compatibility/2006">
      <mc:Choice Requires="x14">
        <control shapeId="4098" r:id="rId5" name="btnOfertaZam2021">
          <controlPr defaultSize="0" autoLine="0" altText="" r:id="rId6">
            <anchor moveWithCells="1">
              <from>
                <xdr:col>1</xdr:col>
                <xdr:colOff>0</xdr:colOff>
                <xdr:row>12</xdr:row>
                <xdr:rowOff>99060</xdr:rowOff>
              </from>
              <to>
                <xdr:col>1</xdr:col>
                <xdr:colOff>990600</xdr:colOff>
                <xdr:row>14</xdr:row>
                <xdr:rowOff>144780</xdr:rowOff>
              </to>
            </anchor>
          </controlPr>
        </control>
      </mc:Choice>
      <mc:Fallback>
        <control shapeId="4098" r:id="rId5" name="btnOfertaZam20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Oferty2020</vt:lpstr>
      <vt:lpstr>Zamowienia2020</vt:lpstr>
      <vt:lpstr>Oferty2021</vt:lpstr>
      <vt:lpstr>Zamowienia2021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2020-11-14T10:45:59Z</dcterms:modified>
</cp:coreProperties>
</file>